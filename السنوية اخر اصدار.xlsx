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خطة السنة" sheetId="1" state="visible" r:id="rId3"/>
    <sheet name="اسابيع الربع الاول" sheetId="2" state="visible" r:id="rId4"/>
    <sheet name="اسابيع الربع الثاني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<sst xmlns="http://schemas.openxmlformats.org/spreadsheetml/2006/main" count="469" uniqueCount="322">
  <si>
    <t xml:space="preserve">اهــــــــــــــــــــــــــــــــــــــــــداف السنــــــــــــــــــــــــــــــــــــــــة الــــــــرئــيـسـيــــــــــــــــــــــــــــــــــــــــــــــــــة</t>
  </si>
  <si>
    <t xml:space="preserve">ربع السنة</t>
  </si>
  <si>
    <t xml:space="preserve">القران الكريم</t>
  </si>
  <si>
    <t xml:space="preserve">الحديث</t>
  </si>
  <si>
    <t xml:space="preserve">المنهج الشرعي </t>
  </si>
  <si>
    <t xml:space="preserve">برمجة</t>
  </si>
  <si>
    <t xml:space="preserve">خطة العبادات</t>
  </si>
  <si>
    <t xml:space="preserve">خطة الشرعي</t>
  </si>
  <si>
    <t xml:space="preserve">خطة العادات</t>
  </si>
  <si>
    <t xml:space="preserve">الحفظ</t>
  </si>
  <si>
    <t xml:space="preserve">المراجعة</t>
  </si>
  <si>
    <t xml:space="preserve">ورد القرائة</t>
  </si>
  <si>
    <t xml:space="preserve">حفظ النووية</t>
  </si>
  <si>
    <t xml:space="preserve">قرائة من رياض الصالحين</t>
  </si>
  <si>
    <t xml:space="preserve">الكورس</t>
  </si>
  <si>
    <t xml:space="preserve">Leetcode</t>
  </si>
  <si>
    <t xml:space="preserve">القيام</t>
  </si>
  <si>
    <t xml:space="preserve">ورد الذكر</t>
  </si>
  <si>
    <t xml:space="preserve">السيرة</t>
  </si>
  <si>
    <t xml:space="preserve">أسماء الله الحسنى</t>
  </si>
  <si>
    <t xml:space="preserve">الدار الاخرة</t>
  </si>
  <si>
    <t xml:space="preserve">رسائل</t>
  </si>
  <si>
    <t xml:space="preserve">سلاسل دروس</t>
  </si>
  <si>
    <t xml:space="preserve">التمرين</t>
  </si>
  <si>
    <t xml:space="preserve">النوم</t>
  </si>
  <si>
    <t xml:space="preserve"> الأول</t>
  </si>
  <si>
    <t xml:space="preserve">كتاب ولله الأسماء الحسنى فادعوه بها</t>
  </si>
  <si>
    <t xml:space="preserve">رحلة الى الدار الاّخرة</t>
  </si>
  <si>
    <t xml:space="preserve"> الثاني</t>
  </si>
  <si>
    <t xml:space="preserve"> الثالث</t>
  </si>
  <si>
    <t xml:space="preserve"> الرابع</t>
  </si>
  <si>
    <t xml:space="preserve">الاجمالي</t>
  </si>
  <si>
    <t xml:space="preserve">40 رسالة</t>
  </si>
  <si>
    <t xml:space="preserve">الشمائل 
و تجويد 
و فقه نفس 28</t>
  </si>
  <si>
    <t xml:space="preserve">ربــــــــــــــــــــع الــســنـــــــــــــــــــــــة الأول</t>
  </si>
  <si>
    <t xml:space="preserve">المطلوب</t>
  </si>
  <si>
    <t xml:space="preserve"> حزب ونصف</t>
  </si>
  <si>
    <t xml:space="preserve">حزب</t>
  </si>
  <si>
    <t xml:space="preserve">الفصل الاول</t>
  </si>
  <si>
    <t xml:space="preserve">to end back-end course and make projects</t>
  </si>
  <si>
    <t xml:space="preserve">اثبت على 5 ركعات قبل الفجر</t>
  </si>
  <si>
    <t xml:space="preserve">1000 مطلق</t>
  </si>
  <si>
    <t xml:space="preserve">----</t>
  </si>
  <si>
    <t xml:space="preserve">عن أسماء الله الحسنى</t>
  </si>
  <si>
    <t xml:space="preserve">عن الدار الآخرة</t>
  </si>
  <si>
    <t xml:space="preserve">رسالة كل اسبوعين</t>
  </si>
  <si>
    <t xml:space="preserve">تجويد حفص 12
فقه النفس 3</t>
  </si>
  <si>
    <t xml:space="preserve">3 في الاسبوع في البيت</t>
  </si>
  <si>
    <t xml:space="preserve">8 ساعات</t>
  </si>
  <si>
    <t xml:space="preserve">محرم (1)</t>
  </si>
  <si>
    <t xml:space="preserve">حفظ حزب 2 و ربع 1و 2 حزب 3</t>
  </si>
  <si>
    <t xml:space="preserve">in back-end course</t>
  </si>
  <si>
    <t xml:space="preserve">------</t>
  </si>
  <si>
    <t xml:space="preserve">---</t>
  </si>
  <si>
    <t xml:space="preserve">كتاب فقه أسماء الله تعالى الحسنى</t>
  </si>
  <si>
    <t xml:space="preserve">رحلة إلى الدار الآخرة 6</t>
  </si>
  <si>
    <t xml:space="preserve">ذم قسوة القلب, حديث إذا كنز الناس الذهب والفضة , حديث أبي الدرداء في طلب العلم ,شرح حديث ما ذئبان جائعان</t>
  </si>
  <si>
    <t xml:space="preserve">تجويد حفص 6</t>
  </si>
  <si>
    <t xml:space="preserve">2 في الاسبوع البيت</t>
  </si>
  <si>
    <t xml:space="preserve">9 ساعات</t>
  </si>
  <si>
    <t xml:space="preserve"> صفر (2)</t>
  </si>
  <si>
    <t xml:space="preserve">حفظ ربعين 3 و4 حزب 3 و الحزب 4</t>
  </si>
  <si>
    <t xml:space="preserve">حزب و نصف</t>
  </si>
  <si>
    <t xml:space="preserve">in back-end course &amp; make projects</t>
  </si>
  <si>
    <t xml:space="preserve">500 مطلق</t>
  </si>
  <si>
    <t xml:space="preserve">تجويد حفص 4
فقه النفس 1</t>
  </si>
  <si>
    <t xml:space="preserve">8 ساعات ونصف</t>
  </si>
  <si>
    <t xml:space="preserve"> ربيع الاول (3)</t>
  </si>
  <si>
    <t xml:space="preserve">مراجعة الجزء الاول والثاني</t>
  </si>
  <si>
    <t xml:space="preserve">make projects and back-end course</t>
  </si>
  <si>
    <t xml:space="preserve">750 مطلق</t>
  </si>
  <si>
    <t xml:space="preserve">رحلة إلى الدار الآخرة 3</t>
  </si>
  <si>
    <t xml:space="preserve">حديث من يرد الله به خيرا -البدر – منظومة السعدي رحمه الله تعالى</t>
  </si>
  <si>
    <t xml:space="preserve">فقه النفس 2</t>
  </si>
  <si>
    <t xml:space="preserve">ربــــــــــــــــــــع الــســنـــــــــــــــــــــــة الــــثـــــــــانــــــي</t>
  </si>
  <si>
    <t xml:space="preserve">جزء</t>
  </si>
  <si>
    <t xml:space="preserve">الفصل الاول بمراجعة مكثفة وامتحان و بداية الثاني</t>
  </si>
  <si>
    <t xml:space="preserve">end front-end corss and make projects</t>
  </si>
  <si>
    <t xml:space="preserve">2000 مطلق</t>
  </si>
  <si>
    <t xml:space="preserve">عن اسماء الله الحسنى</t>
  </si>
  <si>
    <t xml:space="preserve">-----</t>
  </si>
  <si>
    <t xml:space="preserve">شمائل النبي ش.البدر 15
تجويد حفص 9
فقه النفس 6</t>
  </si>
  <si>
    <t xml:space="preserve">4 في الاسبوع في البيت</t>
  </si>
  <si>
    <t xml:space="preserve">7 ساعات</t>
  </si>
  <si>
    <t xml:space="preserve">ربيع الاّخر (4)</t>
  </si>
  <si>
    <t xml:space="preserve">حفظ حزب 5</t>
  </si>
  <si>
    <t xml:space="preserve">in back-end corse</t>
  </si>
  <si>
    <t xml:space="preserve">شمائل النبي ش.البدر 5
فقه النفس 2</t>
  </si>
  <si>
    <t xml:space="preserve">3 في الاسبوع البيت</t>
  </si>
  <si>
    <t xml:space="preserve">7 ساعات ونصف</t>
  </si>
  <si>
    <t xml:space="preserve">جمادي الأول (5)</t>
  </si>
  <si>
    <t xml:space="preserve">حفظ الحزب 6</t>
  </si>
  <si>
    <t xml:space="preserve">الفصل الاول بمراجعة مكثفة وامتحان</t>
  </si>
  <si>
    <t xml:space="preserve">in front-end corse</t>
  </si>
  <si>
    <t xml:space="preserve">1250 مطلق</t>
  </si>
  <si>
    <t xml:space="preserve">جمادي الاّخر (6)</t>
  </si>
  <si>
    <t xml:space="preserve">حفظ حزب 7</t>
  </si>
  <si>
    <t xml:space="preserve">الفصل الثاني</t>
  </si>
  <si>
    <t xml:space="preserve">1500 مطلق </t>
  </si>
  <si>
    <t xml:space="preserve">ربــــــــــــــــــــع الــســنـــــــــــــــــــــــة الــثـــــــالـــــــــث</t>
  </si>
  <si>
    <t xml:space="preserve">جزءان</t>
  </si>
  <si>
    <t xml:space="preserve">3 أجزاء</t>
  </si>
  <si>
    <t xml:space="preserve">find gob and make projects</t>
  </si>
  <si>
    <t xml:space="preserve">2250 مطلق</t>
  </si>
  <si>
    <t xml:space="preserve">عن الدار الاّخرة</t>
  </si>
  <si>
    <t xml:space="preserve">رسالة كل ثلاثاء</t>
  </si>
  <si>
    <t xml:space="preserve">شمائل النبي ش.البدر 23
فقه النفس 9</t>
  </si>
  <si>
    <t xml:space="preserve">2 في الاسبوع في الجيم</t>
  </si>
  <si>
    <t xml:space="preserve">6 ساعات</t>
  </si>
  <si>
    <t xml:space="preserve">رجب (7)</t>
  </si>
  <si>
    <t xml:space="preserve">حفظ الحزب 8</t>
  </si>
  <si>
    <t xml:space="preserve">جزء و نصف</t>
  </si>
  <si>
    <t xml:space="preserve">projects</t>
  </si>
  <si>
    <t xml:space="preserve">1750 مطلق</t>
  </si>
  <si>
    <t xml:space="preserve">رحلة الى الدار الاّخرة 6 </t>
  </si>
  <si>
    <t xml:space="preserve">شمائل النبي ش.البدر 8
فقه النفس 3</t>
  </si>
  <si>
    <t xml:space="preserve">2 في الاسبوع الجيم</t>
  </si>
  <si>
    <t xml:space="preserve">6 ساعات و 45 دقيقة</t>
  </si>
  <si>
    <t xml:space="preserve">شعبان (8)</t>
  </si>
  <si>
    <t xml:space="preserve">حفظ الحزب 9</t>
  </si>
  <si>
    <t xml:space="preserve">جزء ونصف</t>
  </si>
  <si>
    <t xml:space="preserve">job</t>
  </si>
  <si>
    <t xml:space="preserve">6 ساعات و نصف</t>
  </si>
  <si>
    <t xml:space="preserve">رمضان (9)</t>
  </si>
  <si>
    <t xml:space="preserve">حفظ الحزب 10</t>
  </si>
  <si>
    <t xml:space="preserve">4 احزاء</t>
  </si>
  <si>
    <t xml:space="preserve">11 مع التراويح</t>
  </si>
  <si>
    <t xml:space="preserve">شمائل النبي ش.البدر 7
فقه النفس 3</t>
  </si>
  <si>
    <t xml:space="preserve">----------</t>
  </si>
  <si>
    <t xml:space="preserve">ربــــــــــــــــــــع الــســنـــــــــــــــــــــــة الــــــــرابـــــــــــع</t>
  </si>
  <si>
    <t xml:space="preserve">gob and improve my self</t>
  </si>
  <si>
    <t xml:space="preserve">3500 مطلق</t>
  </si>
  <si>
    <t xml:space="preserve">عن القلوب</t>
  </si>
  <si>
    <t xml:space="preserve">اخلاق العلماء
فقه النفس 10</t>
  </si>
  <si>
    <t xml:space="preserve">3 في الاسبوع في الجيم</t>
  </si>
  <si>
    <t xml:space="preserve">شوال (10)</t>
  </si>
  <si>
    <t xml:space="preserve">حفظ الحزب 11</t>
  </si>
  <si>
    <t xml:space="preserve">2500 مطلق</t>
  </si>
  <si>
    <t xml:space="preserve">أخلاق العلماء 4
فقه النفس 3</t>
  </si>
  <si>
    <t xml:space="preserve">3 في الاسبوع الجيم</t>
  </si>
  <si>
    <t xml:space="preserve">ذو القعدة (11)</t>
  </si>
  <si>
    <t xml:space="preserve">حفظ الحزب 12</t>
  </si>
  <si>
    <t xml:space="preserve">3000 مطلق</t>
  </si>
  <si>
    <t xml:space="preserve">أخلاق العلماء 8
فقه النفس 3</t>
  </si>
  <si>
    <t xml:space="preserve">ذو الحجة (12)</t>
  </si>
  <si>
    <t xml:space="preserve">حفظ الحزب 13</t>
  </si>
  <si>
    <t xml:space="preserve">مراجعه و امتحان</t>
  </si>
  <si>
    <t xml:space="preserve">أخلاق العلماء 8
فقه النفس 4</t>
  </si>
  <si>
    <t xml:space="preserve">الأسبوع</t>
  </si>
  <si>
    <t xml:space="preserve">السبت</t>
  </si>
  <si>
    <t xml:space="preserve">الأحد</t>
  </si>
  <si>
    <t xml:space="preserve">الاثنين</t>
  </si>
  <si>
    <t xml:space="preserve">الثلاثاء</t>
  </si>
  <si>
    <t xml:space="preserve">الأربعاء</t>
  </si>
  <si>
    <t xml:space="preserve">الخميس</t>
  </si>
  <si>
    <t xml:space="preserve">الجمعة</t>
  </si>
  <si>
    <t xml:space="preserve">عادات الاسبوع</t>
  </si>
  <si>
    <t xml:space="preserve">تم في ميعاده</t>
  </si>
  <si>
    <t xml:space="preserve">لم يكتمل</t>
  </si>
  <si>
    <t xml:space="preserve">ملاحظات</t>
  </si>
  <si>
    <t xml:space="preserve">حفظ وجه +  مراجعة حزب + رسالة ذم قسوة القلب + كتاب والله الاسماء الحسنى</t>
  </si>
  <si>
    <t xml:space="preserve">   حفظ حديث +  مراجعة حزب + الدار الاّخرة</t>
  </si>
  <si>
    <t xml:space="preserve">حفظ وجه + الدار الاّخرة</t>
  </si>
  <si>
    <t xml:space="preserve">قرائة حديث + مراجعة حزب</t>
  </si>
  <si>
    <t xml:space="preserve">حفظ وجه + تجويد + كتاب والله الاسماء الحسنى + تمرين</t>
  </si>
  <si>
    <t xml:space="preserve">حفظ حديث + مراجعة حزب + تدبر القران </t>
  </si>
  <si>
    <t xml:space="preserve">حفظ وجه +    قرائة حديث + مراجعة حزب + تمرين</t>
  </si>
  <si>
    <t xml:space="preserve">حفظ وجه  + رسالة اذا كنز الناس الذهب و الفضة + كتاب والله الاسماء الحسنى</t>
  </si>
  <si>
    <t xml:space="preserve">حفظ وجه  + تجويد + تمرين</t>
  </si>
  <si>
    <t xml:space="preserve">حفظ وجه + قرائة حديث + مراجعة حزب + تمرين</t>
  </si>
  <si>
    <t xml:space="preserve">حفظ وجه  + رسالة حديث طلب العلم ابن رجب  + كتاب والله الاسماء الحسنى</t>
  </si>
  <si>
    <t xml:space="preserve">   حفظ حديث +  مراجعة حزب + تدبر القران</t>
  </si>
  <si>
    <t xml:space="preserve">حفظ وجه  + رسالة حديث ماذئبان جائعان + كتاب والله الاسماء الحسنى</t>
  </si>
  <si>
    <t xml:space="preserve">قرائة حديث + حفظ حديث +  مراجعة حزب</t>
  </si>
  <si>
    <t xml:space="preserve">حفظ نصف وجه + قرائة حديث + مراجعة حزب + تمرين</t>
  </si>
  <si>
    <t xml:space="preserve">حفظ نصف وجه  + رسالة + كتاب والله الاسماء الحسنى</t>
  </si>
  <si>
    <t xml:space="preserve">حفظ نصف وجه حفظ وجه + الدار الاّخرة</t>
  </si>
  <si>
    <t xml:space="preserve">حفظ وجه + تجويد + كتاب ولله الاسماء الحسنى + تمرين + مراجعة الاحاديث + حفظ حديث للاذكار</t>
  </si>
  <si>
    <t xml:space="preserve">مراجعة حزب + حفظ حديث + تدبر القران + اليوميات + التحدث و الاستماع 10د + الخط النسخ</t>
  </si>
  <si>
    <t xml:space="preserve">مراجعة حزب + فقه النفس + حفظ وجه + كتاب ولله الاسماء الحسنى + قرائة حديث + leetcode + اعتكاف بين المغرب و العشاء</t>
  </si>
  <si>
    <t xml:space="preserve">حفظ وجه + رسالة + كتاب ولله الاسماء الحسنى + تمرين التحدث و الاستماع 10د + تعلم كاتبة الافكار</t>
  </si>
  <si>
    <t xml:space="preserve">حفظ حديث + مراجعة حزب + الدار الاّخرة + حفظ حديث للاذكار + اليوميات + الخط النسخ + ساعة عمل حر</t>
  </si>
  <si>
    <t xml:space="preserve">تجويد + leetcode + حفظ وجه + كتاب ولله الاسماء الحسنى + مراجعة الاحاديث</t>
  </si>
  <si>
    <t xml:space="preserve">مراجعة حزب + سورة الكهف + المدرسة + قرائة حديث + حفظ حديث</t>
  </si>
  <si>
    <t xml:space="preserve">قرائة حزب ونصف + الشفع و الوتر + 1000 ذكر</t>
  </si>
  <si>
    <t xml:space="preserve">مراجعة حزب وربعين + حفظ حديث + تدبر القران + اليوميات + التحدث و الاستماع 10د + الخط النسخ</t>
  </si>
  <si>
    <t xml:space="preserve">مراجعة حزب وربعين + حفظ وجه + كتاب ولله الاسماء الحسنى + قرائة حديث + leetcode + اعتكاف بين المغرب و العشاء</t>
  </si>
  <si>
    <t xml:space="preserve">حفظ حديث + مراجعة حزب وربعين + الدار الاّخرة + حفظ حديث للاذكار + اليوميات + الخط النسخ + ساعه عمل حر</t>
  </si>
  <si>
    <t xml:space="preserve">تدبر القران + حفظ وجه + كتاب ولله الاسماء الحسنى + مراجعة الاحاديث</t>
  </si>
  <si>
    <t xml:space="preserve">مراجعة حزب وربعين + سورة الكهف + المدرسة + قرائة حديث + حفظ حديث</t>
  </si>
  <si>
    <t xml:space="preserve">قرائة حزب ونصف + 5 قيام + 1500 ذكر</t>
  </si>
  <si>
    <t xml:space="preserve">مراجعة حزب وربعين + فقه النفس + حفظ وجه + كتاب ولله الاسماء الحسنى + قرائة حديث + leetcode + اعتكاف بين المغرب و العشاء</t>
  </si>
  <si>
    <t xml:space="preserve">مراجعة حزب وربعين + حفظ حديث + تدبر القران + اليوميات + التحدث و الاستماع 15د + الخط النسخ</t>
  </si>
  <si>
    <t xml:space="preserve">حفظ وجه + رسالة + كتاب ولله الاسماء الحسنى + تمرين التحدث و الاستماع 15د + تعلم كاتبة الافكار</t>
  </si>
  <si>
    <t xml:space="preserve">قرائة جزء + 5 قيام + 2000 ذكر</t>
  </si>
  <si>
    <t xml:space="preserve">مراجعة جزء + حفظ حديث + تدبر القران + اليوميات + التحدث و الاستماع 15د + الخط النسخ</t>
  </si>
  <si>
    <t xml:space="preserve">مراجعة جزء + حفظ وجه + كتاب ولله الاسماء الحسنى + قرائة حديث + leetcode + اعتكاف بين المغرب و العشاء</t>
  </si>
  <si>
    <t xml:space="preserve">حفظ وجه + رسالة + كتاب ولله الاسماء الحسنى + تمرين التحدث و الاستماع 15د + كاتبة الافكار</t>
  </si>
  <si>
    <t xml:space="preserve">حفظ حديث + مراجعة جزء + الدار الاّخرة + حفظ حديث للاذكار + اليوميات + الخط النسخ + ساعتين عمل حر</t>
  </si>
  <si>
    <t xml:space="preserve">تجويد + leetcode + تمرين + حفظ وجه + كتاب ولله الاسماء الحسنى + مراجعة الاحاديث + اعتكاف بين المغرب و العشاء</t>
  </si>
  <si>
    <t xml:space="preserve">مراجعة جزء + سورة الكهف + المدرسة + قرائة حديث + حفظ حديث + اعتكاف بين المغرب و العشاء</t>
  </si>
  <si>
    <t xml:space="preserve">مراجعة جزء + فقه النفس + حفظ وجه + كتاب ولله الاسماء الحسنى + قرائة حديث + leetcode + اعتكاف بين المغرب و العشاء</t>
  </si>
  <si>
    <t xml:space="preserve">تدبر القران + تمرين + حفظ وجه + كتاب ولله الاسماء الحسنى + مراجعة الاحاديث + اعتكاف بين المغرب و العشاء</t>
  </si>
  <si>
    <t xml:space="preserve">قرائة جزء + 5 قيام + 2500 ذكر</t>
  </si>
  <si>
    <t xml:space="preserve">مراجعة جزء + حفظ حديث + تدبر القران + اليوميات + التحدث و الاستماع 20د + الخط النسخ</t>
  </si>
  <si>
    <t xml:space="preserve">حفظ وجه + رسالة + كتاب ولله الاسماء الحسنى + تمرين التحدث و الاستماع 20د + كاتبة الافكار</t>
  </si>
  <si>
    <t xml:space="preserve">قرائة جزء ونصف + 5 قيام + 2500 ذكر</t>
  </si>
  <si>
    <t xml:space="preserve">قرائة جزء ونصف + 5 قيام + 3000 ذكر</t>
  </si>
  <si>
    <t xml:space="preserve"> </t>
  </si>
  <si>
    <t xml:space="preserve">اهداف الاسبوع</t>
  </si>
  <si>
    <t xml:space="preserve">حفظ صفحة 35 + حديث 10 </t>
  </si>
  <si>
    <t xml:space="preserve">كتابة سلسة (كيف الطريق الى) + درس سيرة 1</t>
  </si>
  <si>
    <t xml:space="preserve">فقه 12</t>
  </si>
  <si>
    <t xml:space="preserve">حفظ صفحة 36 + توحيد 44</t>
  </si>
  <si>
    <t xml:space="preserve">اعتكاف بين المغرب و العشاء + لغة عربية 2 + حفظ الاربعين النووية 1</t>
  </si>
  <si>
    <t xml:space="preserve">حفظ صفحة 37</t>
  </si>
  <si>
    <t xml:space="preserve">سورة الكهف + المدرسة + أحاديث شمائل النبي 1</t>
  </si>
  <si>
    <t xml:space="preserve">750 ذكر + 5 قيام + حزب قرائة + حزب مراجعة</t>
  </si>
  <si>
    <t xml:space="preserve">حفظ صفحة 38 + توحيد 45</t>
  </si>
  <si>
    <t xml:space="preserve">كتابة سلسة (كيف الطريق الى) + درس سيرة 2</t>
  </si>
  <si>
    <t xml:space="preserve">تزكية 20</t>
  </si>
  <si>
    <t xml:space="preserve">حفظ صفحة 39 + توحيد 46</t>
  </si>
  <si>
    <t xml:space="preserve">اعتكاف بين المغرب و العشاء + لغة عربية 3 + حفظ الاربعين النووية 2</t>
  </si>
  <si>
    <t xml:space="preserve">حفظ صفحة 40 + رسالة</t>
  </si>
  <si>
    <t xml:space="preserve">سورة الكهف + المدرسة + أحاديث شمائل النبي 2</t>
  </si>
  <si>
    <t xml:space="preserve">حفظ صفحة 41 + توحيد 47</t>
  </si>
  <si>
    <t xml:space="preserve">كتابة سلسة (كيف الطريق الى) + درس سيرة 3</t>
  </si>
  <si>
    <t xml:space="preserve">حديث 10</t>
  </si>
  <si>
    <t xml:space="preserve">حفظ صفحة 42 + توحيد 48</t>
  </si>
  <si>
    <t xml:space="preserve">اعتكاف بين المغرب و العشاء + لغة عربية 4 + حفظ الاربعين النووية 3</t>
  </si>
  <si>
    <t xml:space="preserve">حفظ صفحة 43</t>
  </si>
  <si>
    <t xml:space="preserve">سورة الكهف + المدرسة + أحاديث شمائل النبي 3</t>
  </si>
  <si>
    <t xml:space="preserve">1000 ذكر + 5 قيام + حزب قرائة + حزب مراجعة</t>
  </si>
  <si>
    <t xml:space="preserve">حفظ صفحة 44 + توحيد 49</t>
  </si>
  <si>
    <t xml:space="preserve">كتابة سلسة (كيف الطريق الى) + درس سيرة 4</t>
  </si>
  <si>
    <t xml:space="preserve">تزكية 21</t>
  </si>
  <si>
    <t xml:space="preserve">حفظ صفحة 45 + توحيد 50</t>
  </si>
  <si>
    <t xml:space="preserve">اعتكاف بين المغرب و العشاء + لغة عربية 5 + حفظ الاربعين النووية 4</t>
  </si>
  <si>
    <t xml:space="preserve">حفظ صفحة 46 + رسالة</t>
  </si>
  <si>
    <t xml:space="preserve">سورة الكهف + المدرسة + أحاديث شمائل النبي 4</t>
  </si>
  <si>
    <t xml:space="preserve">1001 ذكر + 5 قيام + حزب و نصف قرائة + حزب مراجعة</t>
  </si>
  <si>
    <t xml:space="preserve">حفظ صفحة 47 + توحيد 51</t>
  </si>
  <si>
    <t xml:space="preserve">كتابة سلسة (كيف الطريق الى) + درس سيرة 5</t>
  </si>
  <si>
    <t xml:space="preserve">حديث 11</t>
  </si>
  <si>
    <t xml:space="preserve">حفظ صفحة 48 + توحيد 52</t>
  </si>
  <si>
    <t xml:space="preserve">اعتكاف بين المغرب و العشاء + لغة عربية 6 + حفظ الاربعين النووية 5</t>
  </si>
  <si>
    <t xml:space="preserve">حفظ صفحة 49</t>
  </si>
  <si>
    <t xml:space="preserve">سورة الكهف + المدرسة + أحاديث شمائل النبي 5</t>
  </si>
  <si>
    <t xml:space="preserve">1002 ذكر + 7 قيام + حزب و نصف قرائة + حزب و نصف مراجعة</t>
  </si>
  <si>
    <t xml:space="preserve">حفظ صفحة 50 + توحيد 53</t>
  </si>
  <si>
    <t xml:space="preserve">كتابة سلسة (كيف الطريق الى) + درس سيرة 6</t>
  </si>
  <si>
    <t xml:space="preserve">تزكية 22</t>
  </si>
  <si>
    <t xml:space="preserve">حفظ صفحة 51 + توحيد 54</t>
  </si>
  <si>
    <t xml:space="preserve">اعتكاف بين المغرب و العشاء + لغة عربية 7 + حفظ الاربعين النووية 6</t>
  </si>
  <si>
    <t xml:space="preserve">حفظ صفحة 52 + رسالة</t>
  </si>
  <si>
    <t xml:space="preserve">سورة الكهف + المدرسة + أحاديث شمائل النبي 6</t>
  </si>
  <si>
    <t xml:space="preserve">1300 ذكر + 7 قيام + حزب و نصف قرائة + حزب و نصف مراجعة</t>
  </si>
  <si>
    <t xml:space="preserve">حفظ صفحة 53 + توحيد 55</t>
  </si>
  <si>
    <t xml:space="preserve">كتابة سلسة (كيف الطريق الى) + درس سيرة 7</t>
  </si>
  <si>
    <t xml:space="preserve">حديث 12</t>
  </si>
  <si>
    <t xml:space="preserve">حفظ صفحة 54 + توحيد 56</t>
  </si>
  <si>
    <t xml:space="preserve">اعتكاف بين المغرب و العشاء + لغة عربية 8 + حفظ الاربعين النووية 7</t>
  </si>
  <si>
    <t xml:space="preserve">حفظ صفحة 55</t>
  </si>
  <si>
    <t xml:space="preserve">سورة الكهف + المدرسة + أحاديث شمائل النبي 7</t>
  </si>
  <si>
    <t xml:space="preserve">1301 ذكر + 7 قيام + جزء قرائة + حزب و نصف مراجعة</t>
  </si>
  <si>
    <t xml:space="preserve">حفظ صفحة 56 + توحيد 57</t>
  </si>
  <si>
    <t xml:space="preserve">كتابة سلسة (كيف الطريق الى) + درس سيرة 8</t>
  </si>
  <si>
    <t xml:space="preserve">حديث 13</t>
  </si>
  <si>
    <t xml:space="preserve">حفظ صفحة 57 + توحيد 58</t>
  </si>
  <si>
    <t xml:space="preserve">اعتكاف بين المغرب و العشاء + لغة عربية 9 + حفظ الاربعين النووية 8</t>
  </si>
  <si>
    <t xml:space="preserve">حفظ صفحة 58 + رسالة</t>
  </si>
  <si>
    <t xml:space="preserve">سورة الكهف + المدرسة + أحاديث شمائل النبي 8</t>
  </si>
  <si>
    <t xml:space="preserve">1700 ذكر + 7 قيام + جزء قرائة + جزء مراجعة</t>
  </si>
  <si>
    <t xml:space="preserve">حفظ صفحة 59 + مراجعة توحيد</t>
  </si>
  <si>
    <t xml:space="preserve">كتابة سلسة (كيف الطريق الى) + درس سيرة 9</t>
  </si>
  <si>
    <t xml:space="preserve">مراجعة حديث</t>
  </si>
  <si>
    <t xml:space="preserve">حفظ صفحة 60 + مراجعة توحيد</t>
  </si>
  <si>
    <t xml:space="preserve">اعتكاف بين المغرب و العشاء + لغة عربية 10 + حفظ الاربعين النووية 10</t>
  </si>
  <si>
    <t xml:space="preserve">حفظ صفحة 61 + مراجعة تفسير</t>
  </si>
  <si>
    <t xml:space="preserve">سورة الكهف + المدرسة + أحاديث شمائل النبي 9</t>
  </si>
  <si>
    <t xml:space="preserve">1700 ذكر + 9 قيام + جزء قرائة + جزء مراجعة</t>
  </si>
  <si>
    <t xml:space="preserve">حفظ صفحة 62 + مراجعة تفسير</t>
  </si>
  <si>
    <t xml:space="preserve">كتابة سلسة (كيف الطريق الى) + درس سيرة 10 + مراجعة سيرة</t>
  </si>
  <si>
    <t xml:space="preserve">مراجعة تزكية</t>
  </si>
  <si>
    <t xml:space="preserve">حفظ صفحة 63 + مراجعة توحيد</t>
  </si>
  <si>
    <t xml:space="preserve">اعتكاف بين المغرب و العشاء + مراجعة لغة عربية + حفظ الاربعين النووية 11</t>
  </si>
  <si>
    <t xml:space="preserve">حفظ صفحة 64 + مراجعة فقه</t>
  </si>
  <si>
    <t xml:space="preserve">سورة الكهف + المدرسة + أحاديث شمائل النبي 10</t>
  </si>
  <si>
    <t xml:space="preserve">2000 ذكر + 9 قيام + جزء و نصف قرائة + جزء مراجعة</t>
  </si>
  <si>
    <t xml:space="preserve">حفظ صفحة 65 + امتحان توحيد</t>
  </si>
  <si>
    <t xml:space="preserve">كتابة سلسة (كيف الطريق الى) + درس سيرة 11 + امتحان تزكية</t>
  </si>
  <si>
    <t xml:space="preserve">امتحان حديث</t>
  </si>
  <si>
    <t xml:space="preserve">حفظ صفحة 66 + امتحان سيرة + امتحان تفسير</t>
  </si>
  <si>
    <t xml:space="preserve">اعتكاف بين المغرب و العشاء + امتحان لغة عربية + حفظ الاربعين النووية 12</t>
  </si>
  <si>
    <t xml:space="preserve">حفظ صفحة 67 + امتحان فقه</t>
  </si>
  <si>
    <t xml:space="preserve">سورة الكهف + المدرسة + أحاديث شمائل النبي 11</t>
  </si>
  <si>
    <t xml:space="preserve">2000 ذكر + 9 قيام + جزء ونصف قرائة + جزء مراجعة</t>
  </si>
  <si>
    <t xml:space="preserve">حفظ صفحة 68 + تنزيل الفصل الثاني</t>
  </si>
  <si>
    <t xml:space="preserve">كتابة سلسة (كيف الطريق الى) + درس سيرة 12 + تجهيز الفصل الثاني</t>
  </si>
  <si>
    <t xml:space="preserve">------------ المفروض اعدل هنا</t>
  </si>
  <si>
    <t xml:space="preserve">حفظ صفحة 69</t>
  </si>
  <si>
    <t xml:space="preserve">حفظ صفحة 70 + رسالة</t>
  </si>
  <si>
    <t xml:space="preserve">سورة الكهف + المدرسة + أحاديث شمائل النبي 12</t>
  </si>
  <si>
    <t xml:space="preserve">2500 ذكر + 9 قيام + جزء ونصف قرائة + جزء ونصف مراجعة</t>
  </si>
  <si>
    <t xml:space="preserve">حفظ صفحة 71</t>
  </si>
  <si>
    <t xml:space="preserve">كتابة سلسة (كيف الطريق الى) + درس سيرة 13</t>
  </si>
  <si>
    <t xml:space="preserve">حفظ صفحة 72 </t>
  </si>
  <si>
    <t xml:space="preserve">حفظ صفحة 73</t>
  </si>
  <si>
    <t xml:space="preserve">سورة الكهف + المدرسة + أحاديث شمائل النبي 13</t>
  </si>
  <si>
    <t xml:space="preserve">2500 ذكر + 11 قيام + جزء ونصف قرائة + جزء ونصف مراجعة</t>
  </si>
  <si>
    <t xml:space="preserve">حفظ صفحة 74</t>
  </si>
  <si>
    <t xml:space="preserve">كتابة سلسة (كيف الطريق الى) + درس سيرة 14</t>
  </si>
  <si>
    <t xml:space="preserve">حفظ صفحة 75 </t>
  </si>
  <si>
    <t xml:space="preserve">حفظ صفحة 76 + رسالة</t>
  </si>
  <si>
    <t xml:space="preserve">سورة الكهف + المدرسة + أحاديث شمائل النبي 14</t>
  </si>
  <si>
    <t xml:space="preserve">3000 ذكر + 11 قيام + جزء ونصف قرائة + جزء ونصف مراجعة</t>
  </si>
  <si>
    <t xml:space="preserve">حفظ قديم</t>
  </si>
  <si>
    <t xml:space="preserve">كتابة سلسة (كيف الطريق الى) + درس سيرة 15</t>
  </si>
  <si>
    <t xml:space="preserve">سورة الكهف + المدرسة + أحاديث شمائل النبي 15</t>
  </si>
  <si>
    <t xml:space="preserve">كتابة سلسة (كيف الطريق الى) + درس سيرة 16</t>
  </si>
  <si>
    <t xml:space="preserve">حفظ قديم </t>
  </si>
  <si>
    <t xml:space="preserve">2000 ذكر + 11 قيام + جزء ونصف قرائة + جزء ونصف مراجعة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</si>
</sst>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9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3"/>
      <color theme="1"/>
      <name val="Arial"/>
      <family val="0"/>
      <charset val="1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theme="1"/>
      <name val="Calibri"/>
      <family val="2"/>
      <charset val="1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9"/>
      <color theme="1"/>
      <name val="Arial"/>
      <family val="0"/>
      <charset val="1"/>
    </font>
    <font>
      <b val="true"/>
      <sz val="15"/>
      <color theme="1"/>
      <name val="Arial"/>
      <family val="0"/>
      <charset val="1"/>
    </font>
    <font>
      <b val="true"/>
      <sz val="15"/>
      <color theme="1"/>
      <name val="Calibri"/>
      <family val="2"/>
      <charset val="1"/>
    </font>
    <font>
      <b val="true"/>
      <sz val="12"/>
      <color theme="1"/>
      <name val="Arial"/>
      <family val="0"/>
      <charset val="1"/>
    </font>
    <font>
      <b val="true"/>
      <sz val="12"/>
      <color theme="1"/>
      <name val="Calibri"/>
      <family val="2"/>
      <charset val="1"/>
    </font>
    <font>
      <b val="true"/>
      <sz val="15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E7D32"/>
        <bgColor rgb="FF388E3C"/>
      </patternFill>
    </fill>
    <fill>
      <patternFill patternType="solid">
        <fgColor rgb="FF4CAF50"/>
        <bgColor rgb="FF3FAF46"/>
      </patternFill>
    </fill>
    <fill>
      <patternFill patternType="solid">
        <fgColor rgb="FF81C784"/>
        <bgColor rgb="FF77BC65"/>
      </patternFill>
    </fill>
    <fill>
      <patternFill patternType="solid">
        <fgColor rgb="FFF1F8E9"/>
        <bgColor rgb="FFFFFFFF"/>
      </patternFill>
    </fill>
    <fill>
      <patternFill patternType="solid">
        <fgColor rgb="FFFFFFFF"/>
        <bgColor rgb="FFF1F8E9"/>
      </patternFill>
    </fill>
    <fill>
      <patternFill patternType="solid">
        <fgColor rgb="FF1C1C1C"/>
        <bgColor rgb="FF003300"/>
      </patternFill>
    </fill>
    <fill>
      <patternFill patternType="solid">
        <fgColor rgb="FF3FAF46"/>
        <bgColor rgb="FF4CAF50"/>
      </patternFill>
    </fill>
    <fill>
      <patternFill patternType="solid">
        <fgColor rgb="FF77BC65"/>
        <bgColor rgb="FF81C784"/>
      </patternFill>
    </fill>
    <fill>
      <patternFill patternType="solid">
        <fgColor rgb="FFAFD095"/>
        <bgColor rgb="FF81C784"/>
      </patternFill>
    </fill>
    <fill>
      <patternFill patternType="solid">
        <fgColor rgb="FF000000"/>
        <bgColor rgb="FF1C1C1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388E3C"/>
      </left>
      <right/>
      <top style="thin">
        <color rgb="FF388E3C"/>
      </top>
      <bottom style="thin">
        <color rgb="FF388E3C"/>
      </bottom>
      <diagonal/>
    </border>
    <border diagonalUp="false" diagonalDown="false">
      <left style="thin">
        <color rgb="FF388E3C"/>
      </left>
      <right style="thin">
        <color rgb="FF388E3C"/>
      </right>
      <top style="thin">
        <color rgb="FF388E3C"/>
      </top>
      <bottom/>
      <diagonal/>
    </border>
    <border diagonalUp="false" diagonalDown="false">
      <left style="thin">
        <color rgb="FF224B12"/>
      </left>
      <right style="thin">
        <color rgb="FF224B12"/>
      </right>
      <top style="thin">
        <color rgb="FF388E3C"/>
      </top>
      <bottom style="thin">
        <color rgb="FF388E3C"/>
      </bottom>
      <diagonal/>
    </border>
    <border diagonalUp="false" diagonalDown="false">
      <left style="thin">
        <color rgb="FF388E3C"/>
      </left>
      <right style="thin">
        <color rgb="FF224B12"/>
      </right>
      <top style="thin">
        <color rgb="FF388E3C"/>
      </top>
      <bottom style="thin">
        <color rgb="FF388E3C"/>
      </bottom>
      <diagonal/>
    </border>
    <border diagonalUp="false" diagonalDown="false">
      <left style="thin">
        <color rgb="FF127622"/>
      </left>
      <right style="thin">
        <color rgb="FF127622"/>
      </right>
      <top style="thin">
        <color rgb="FF388E3C"/>
      </top>
      <bottom style="thin">
        <color rgb="FF388E3C"/>
      </bottom>
      <diagonal/>
    </border>
    <border diagonalUp="false" diagonalDown="false">
      <left style="thin">
        <color rgb="FF388E3C"/>
      </left>
      <right style="thin">
        <color rgb="FF388E3C"/>
      </right>
      <top style="thin">
        <color rgb="FF388E3C"/>
      </top>
      <bottom style="thin">
        <color rgb="FF388E3C"/>
      </bottom>
      <diagonal/>
    </border>
    <border diagonalUp="false" diagonalDown="false">
      <left style="thin">
        <color rgb="FF224B12"/>
      </left>
      <right style="thin">
        <color rgb="FF388E3C"/>
      </right>
      <top style="thin">
        <color rgb="FF388E3C"/>
      </top>
      <bottom style="thin">
        <color rgb="FF388E3C"/>
      </bottom>
      <diagonal/>
    </border>
    <border diagonalUp="false" diagonalDown="false">
      <left style="thin">
        <color rgb="FF388E3C"/>
      </left>
      <right style="thin">
        <color rgb="FF069A2E"/>
      </right>
      <top style="thin">
        <color rgb="FF388E3C"/>
      </top>
      <bottom style="thin">
        <color rgb="FF069A2E"/>
      </bottom>
      <diagonal/>
    </border>
    <border diagonalUp="false" diagonalDown="false">
      <left style="thin">
        <color rgb="FF069A2E"/>
      </left>
      <right style="thin">
        <color rgb="FF069A2E"/>
      </right>
      <top style="thin">
        <color rgb="FF069A2E"/>
      </top>
      <bottom style="thin">
        <color rgb="FF069A2E"/>
      </bottom>
      <diagonal/>
    </border>
    <border diagonalUp="false" diagonalDown="false">
      <left style="thin">
        <color rgb="FF127622"/>
      </left>
      <right style="thin">
        <color rgb="FF388E3C"/>
      </right>
      <top style="thin">
        <color rgb="FF388E3C"/>
      </top>
      <bottom style="thin">
        <color rgb="FF388E3C"/>
      </bottom>
      <diagonal/>
    </border>
    <border diagonalUp="false" diagonalDown="false">
      <left style="thin">
        <color rgb="FF388E3C"/>
      </left>
      <right style="thin">
        <color rgb="FF069A2E"/>
      </right>
      <top style="thin">
        <color rgb="FF069A2E"/>
      </top>
      <bottom style="thin">
        <color rgb="FF069A2E"/>
      </bottom>
      <diagonal/>
    </border>
    <border diagonalUp="false" diagonalDown="false">
      <left style="thin">
        <color rgb="FF388E3C"/>
      </left>
      <right style="thin">
        <color rgb="FF069A2E"/>
      </right>
      <top style="thin">
        <color rgb="FF069A2E"/>
      </top>
      <bottom style="thin">
        <color rgb="FF388E3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5" fillId="3" borderId="4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5" fillId="3" borderId="5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6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7" fillId="4" borderId="6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5" fillId="4" borderId="7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5" fillId="4" borderId="8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5" fillId="4" borderId="9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5" fillId="4" borderId="10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8" fillId="5" borderId="6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9" fillId="5" borderId="6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9" fillId="5" borderId="7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9" fillId="5" borderId="11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9" fillId="5" borderId="9" xfId="0" applyFont="true" applyBorder="true" applyAlignment="true" applyProtection="true">
      <alignment horizontal="center" vertical="center" textRotation="180" wrapText="true" indent="0" shrinkToFit="false" readingOrder="2"/>
      <protection locked="true" hidden="false"/>
    </xf>
    <xf numFmtId="164" fontId="9" fillId="5" borderId="9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9" fillId="5" borderId="10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8" fillId="6" borderId="6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9" fillId="6" borderId="6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9" fillId="6" borderId="7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9" fillId="6" borderId="11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9" fillId="6" borderId="9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9" fillId="6" borderId="10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9" fillId="5" borderId="12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10" fillId="7" borderId="1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12" fillId="8" borderId="1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13" fillId="8" borderId="1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6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15" fillId="5" borderId="6" xfId="0" applyFont="true" applyBorder="true" applyAlignment="true" applyProtection="true">
      <alignment horizontal="center" vertical="center" textRotation="180" wrapText="true" indent="0" shrinkToFit="false" readingOrder="2"/>
      <protection locked="true" hidden="false"/>
    </xf>
    <xf numFmtId="164" fontId="15" fillId="6" borderId="6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16" fillId="6" borderId="6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17" fillId="6" borderId="6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18" fillId="3" borderId="2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18" fillId="3" borderId="1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6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9" borderId="6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20" fillId="5" borderId="6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20" fillId="10" borderId="6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20" fillId="11" borderId="6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20" fillId="0" borderId="0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22" fillId="3" borderId="2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22" fillId="3" borderId="1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18" fillId="0" borderId="6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18" fillId="10" borderId="6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1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8" fillId="5" borderId="6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18" fillId="11" borderId="6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622"/>
      <rgbColor rgb="FF000080"/>
      <rgbColor rgb="FF808000"/>
      <rgbColor rgb="FF800080"/>
      <rgbColor rgb="FF069A2E"/>
      <rgbColor rgb="FFAFD095"/>
      <rgbColor rgb="FF3FAF46"/>
      <rgbColor rgb="FF9999FF"/>
      <rgbColor rgb="FF993366"/>
      <rgbColor rgb="FFF1F8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2E7D32"/>
      <rgbColor rgb="FF0000FF"/>
      <rgbColor rgb="FF00CCFF"/>
      <rgbColor rgb="FFCCFFFF"/>
      <rgbColor rgb="FFCCFFCC"/>
      <rgbColor rgb="FFFFFF99"/>
      <rgbColor rgb="FF81C784"/>
      <rgbColor rgb="FFFF99CC"/>
      <rgbColor rgb="FFCC99FF"/>
      <rgbColor rgb="FFFFCC99"/>
      <rgbColor rgb="FF3366FF"/>
      <rgbColor rgb="FF4CAF50"/>
      <rgbColor rgb="FF99CC00"/>
      <rgbColor rgb="FFFFCC00"/>
      <rgbColor rgb="FFFF9900"/>
      <rgbColor rgb="FFFF6600"/>
      <rgbColor rgb="FF666699"/>
      <rgbColor rgb="FF77BC65"/>
      <rgbColor rgb="FF003366"/>
      <rgbColor rgb="FF388E3C"/>
      <rgbColor rgb="FF003300"/>
      <rgbColor rgb="FF224B12"/>
      <rgbColor rgb="FF993300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0"/>
  <sheetViews>
    <sheetView showFormulas="false" showGridLines="false" showRowColHeaders="true" showZeros="true" rightToLeft="true" tabSelected="false" showOutlineSymbols="true" defaultGridColor="true" view="normal" topLeftCell="A1" colorId="64" zoomScale="37" zoomScaleNormal="37" zoomScalePageLayoutView="100" workbookViewId="0">
      <pane xSplit="0" ySplit="3" topLeftCell="A13" activePane="bottomLeft" state="frozen"/>
      <selection pane="topLeft" activeCell="A1" activeCellId="0" sqref="A1"/>
      <selection pane="bottomLeft" activeCell="P18" activeCellId="0" sqref="P18"/>
    </sheetView>
  </sheetViews>
  <sheetFormatPr defaultColWidth="8.6796875" defaultRowHeight="13.8" customHeight="false" zeroHeight="false" outlineLevelRow="0" outlineLevelCol="0"/>
  <cols>
    <col collapsed="false" customWidth="true" hidden="false" outlineLevel="0" max="1" min="1" style="1" width="15.55"/>
    <col collapsed="false" customWidth="true" hidden="false" outlineLevel="0" max="4" min="2" style="1" width="14.86"/>
    <col collapsed="false" customWidth="true" hidden="false" outlineLevel="0" max="6" min="5" style="1" width="13.22"/>
    <col collapsed="false" customWidth="true" hidden="false" outlineLevel="0" max="7" min="7" style="1" width="23.46"/>
    <col collapsed="false" customWidth="true" hidden="false" outlineLevel="0" max="8" min="8" style="1" width="24.98"/>
    <col collapsed="false" customWidth="true" hidden="false" outlineLevel="0" max="9" min="9" style="1" width="10.25"/>
    <col collapsed="false" customWidth="true" hidden="false" outlineLevel="0" max="10" min="10" style="1" width="13.29"/>
    <col collapsed="false" customWidth="true" hidden="false" outlineLevel="0" max="12" min="11" style="1" width="10.97"/>
    <col collapsed="false" customWidth="true" hidden="false" outlineLevel="0" max="14" min="13" style="1" width="10.04"/>
    <col collapsed="false" customWidth="true" hidden="false" outlineLevel="0" max="15" min="15" style="1" width="47.19"/>
    <col collapsed="false" customWidth="true" hidden="false" outlineLevel="0" max="16" min="16" style="1" width="21.11"/>
    <col collapsed="false" customWidth="true" hidden="false" outlineLevel="0" max="17" min="17" style="1" width="16.91"/>
    <col collapsed="false" customWidth="true" hidden="false" outlineLevel="0" max="18" min="18" style="1" width="15.27"/>
    <col collapsed="false" customWidth="true" hidden="false" outlineLevel="0" max="16384" min="16374" style="1" width="11.53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="7" customFormat="true" ht="39.75" hidden="false" customHeight="true" outlineLevel="0" collapsed="false">
      <c r="A2" s="3" t="s">
        <v>1</v>
      </c>
      <c r="B2" s="3" t="s">
        <v>2</v>
      </c>
      <c r="C2" s="3"/>
      <c r="D2" s="3"/>
      <c r="E2" s="3" t="s">
        <v>3</v>
      </c>
      <c r="F2" s="3"/>
      <c r="G2" s="3" t="s">
        <v>4</v>
      </c>
      <c r="H2" s="3" t="s">
        <v>5</v>
      </c>
      <c r="I2" s="3"/>
      <c r="J2" s="4" t="s">
        <v>6</v>
      </c>
      <c r="K2" s="4"/>
      <c r="L2" s="5" t="s">
        <v>7</v>
      </c>
      <c r="M2" s="5"/>
      <c r="N2" s="5"/>
      <c r="O2" s="5"/>
      <c r="P2" s="5"/>
      <c r="Q2" s="6" t="s">
        <v>8</v>
      </c>
      <c r="R2" s="6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  <c r="XFC2" s="1"/>
      <c r="XFD2" s="1"/>
    </row>
    <row r="3" s="7" customFormat="true" ht="31.45" hidden="false" customHeight="true" outlineLevel="0" collapsed="false">
      <c r="A3" s="3"/>
      <c r="B3" s="8" t="s">
        <v>9</v>
      </c>
      <c r="C3" s="8" t="s">
        <v>10</v>
      </c>
      <c r="D3" s="8" t="s">
        <v>11</v>
      </c>
      <c r="E3" s="8" t="s">
        <v>12</v>
      </c>
      <c r="F3" s="9" t="s">
        <v>13</v>
      </c>
      <c r="G3" s="3"/>
      <c r="H3" s="8" t="s">
        <v>14</v>
      </c>
      <c r="I3" s="8" t="s">
        <v>15</v>
      </c>
      <c r="J3" s="10" t="s">
        <v>16</v>
      </c>
      <c r="K3" s="8" t="s">
        <v>17</v>
      </c>
      <c r="L3" s="11" t="s">
        <v>18</v>
      </c>
      <c r="M3" s="12" t="s">
        <v>19</v>
      </c>
      <c r="N3" s="12" t="s">
        <v>20</v>
      </c>
      <c r="O3" s="12" t="s">
        <v>21</v>
      </c>
      <c r="P3" s="12" t="s">
        <v>22</v>
      </c>
      <c r="Q3" s="13" t="s">
        <v>23</v>
      </c>
      <c r="R3" s="8" t="s">
        <v>24</v>
      </c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  <c r="XFC3" s="1"/>
      <c r="XFD3" s="1"/>
    </row>
    <row r="4" s="7" customFormat="true" ht="49.1" hidden="false" customHeight="true" outlineLevel="0" collapsed="false">
      <c r="A4" s="14" t="s">
        <v>25</v>
      </c>
      <c r="B4" s="15" t="n">
        <f aca="false">B11</f>
        <v>40</v>
      </c>
      <c r="C4" s="15" t="str">
        <f aca="false">C11</f>
        <v> حزب ونصف</v>
      </c>
      <c r="D4" s="15" t="str">
        <f aca="false">D11</f>
        <v>حزب</v>
      </c>
      <c r="E4" s="15" t="n">
        <f aca="false">E11</f>
        <v>2</v>
      </c>
      <c r="F4" s="15" t="n">
        <f aca="false">F11</f>
        <v>14</v>
      </c>
      <c r="G4" s="15" t="str">
        <f aca="false">G11</f>
        <v>الفصل الاول</v>
      </c>
      <c r="H4" s="15" t="str">
        <f aca="false">H11</f>
        <v>to end back-end course and make projects</v>
      </c>
      <c r="I4" s="15" t="n">
        <f aca="false">I11</f>
        <v>8</v>
      </c>
      <c r="J4" s="16" t="n">
        <v>5</v>
      </c>
      <c r="K4" s="15" t="str">
        <f aca="false">K11</f>
        <v>1000 مطلق</v>
      </c>
      <c r="L4" s="17" t="str">
        <f aca="false">L11</f>
        <v>----</v>
      </c>
      <c r="M4" s="18" t="s">
        <v>26</v>
      </c>
      <c r="N4" s="18" t="s">
        <v>27</v>
      </c>
      <c r="O4" s="19" t="str">
        <f aca="false">O11</f>
        <v>رسالة كل اسبوعين</v>
      </c>
      <c r="P4" s="19" t="str">
        <f aca="false">P11</f>
        <v>تجويد حفص 12
فقه النفس 3</v>
      </c>
      <c r="Q4" s="20" t="str">
        <f aca="false">Q11</f>
        <v>3 في الاسبوع في البيت</v>
      </c>
      <c r="R4" s="20" t="str">
        <f aca="false">R11</f>
        <v>8 ساعات</v>
      </c>
      <c r="XER4" s="1"/>
      <c r="XES4" s="1"/>
      <c r="XET4" s="1"/>
      <c r="XEU4" s="1"/>
      <c r="XEV4" s="1"/>
      <c r="XEW4" s="1"/>
      <c r="XEX4" s="1"/>
      <c r="XEY4" s="1"/>
      <c r="XEZ4" s="1"/>
      <c r="XFA4" s="1"/>
      <c r="XFB4" s="1"/>
      <c r="XFC4" s="1"/>
      <c r="XFD4" s="1"/>
    </row>
    <row r="5" s="7" customFormat="true" ht="49.1" hidden="false" customHeight="true" outlineLevel="0" collapsed="false">
      <c r="A5" s="21" t="s">
        <v>28</v>
      </c>
      <c r="B5" s="22" t="n">
        <f aca="false">B16</f>
        <v>30</v>
      </c>
      <c r="C5" s="22" t="str">
        <f aca="false">C16</f>
        <v>جزء</v>
      </c>
      <c r="D5" s="22" t="str">
        <f aca="false">D16</f>
        <v>جزء</v>
      </c>
      <c r="E5" s="22" t="n">
        <f aca="false">E16</f>
        <v>15</v>
      </c>
      <c r="F5" s="22" t="n">
        <f aca="false">F16</f>
        <v>12</v>
      </c>
      <c r="G5" s="22" t="str">
        <f aca="false">G16</f>
        <v>الفصل الاول بمراجعة مكثفة وامتحان و بداية الثاني</v>
      </c>
      <c r="H5" s="22" t="str">
        <f aca="false">H16</f>
        <v>end front-end corss and make projects</v>
      </c>
      <c r="I5" s="22" t="n">
        <f aca="false">I16</f>
        <v>4</v>
      </c>
      <c r="J5" s="23" t="n">
        <f aca="false">J16</f>
        <v>7</v>
      </c>
      <c r="K5" s="22" t="str">
        <f aca="false">K16</f>
        <v>2000 مطلق</v>
      </c>
      <c r="L5" s="24" t="n">
        <f aca="false">L16</f>
        <v>12</v>
      </c>
      <c r="M5" s="18" t="str">
        <f aca="false">M16</f>
        <v>عن اسماء الله الحسنى</v>
      </c>
      <c r="N5" s="18"/>
      <c r="O5" s="25" t="str">
        <f aca="false">O16</f>
        <v>رسالة كل اسبوعين</v>
      </c>
      <c r="P5" s="25" t="str">
        <f aca="false">P16</f>
        <v>شمائل النبي ش.البدر 15
تجويد حفص 9
فقه النفس 6</v>
      </c>
      <c r="Q5" s="26" t="str">
        <f aca="false">Q16</f>
        <v>4 في الاسبوع في البيت</v>
      </c>
      <c r="R5" s="26" t="str">
        <f aca="false">R16</f>
        <v>7 ساعات</v>
      </c>
      <c r="XER5" s="1"/>
      <c r="XES5" s="1"/>
      <c r="XET5" s="1"/>
      <c r="XEU5" s="1"/>
      <c r="XEV5" s="1"/>
      <c r="XEW5" s="1"/>
      <c r="XEX5" s="1"/>
      <c r="XEY5" s="1"/>
      <c r="XEZ5" s="1"/>
      <c r="XFA5" s="1"/>
      <c r="XFB5" s="1"/>
      <c r="XFC5" s="1"/>
      <c r="XFD5" s="1"/>
    </row>
    <row r="6" s="7" customFormat="true" ht="49.1" hidden="false" customHeight="true" outlineLevel="0" collapsed="false">
      <c r="A6" s="14" t="s">
        <v>29</v>
      </c>
      <c r="B6" s="15" t="n">
        <f aca="false">B21</f>
        <v>30</v>
      </c>
      <c r="C6" s="15" t="str">
        <f aca="false">C21</f>
        <v>جزءان</v>
      </c>
      <c r="D6" s="15" t="str">
        <f aca="false">D21</f>
        <v>3 أجزاء</v>
      </c>
      <c r="E6" s="15" t="n">
        <f aca="false">E21</f>
        <v>15</v>
      </c>
      <c r="F6" s="15" t="n">
        <f aca="false">F21</f>
        <v>12</v>
      </c>
      <c r="G6" s="15" t="str">
        <f aca="false">G21</f>
        <v>الفصل الثاني</v>
      </c>
      <c r="H6" s="15" t="str">
        <f aca="false">H21</f>
        <v>find gob and make projects</v>
      </c>
      <c r="I6" s="15" t="n">
        <f aca="false">I21</f>
        <v>12</v>
      </c>
      <c r="J6" s="16" t="n">
        <f aca="false">J21</f>
        <v>11</v>
      </c>
      <c r="K6" s="15" t="str">
        <f aca="false">K21</f>
        <v>2250 مطلق</v>
      </c>
      <c r="L6" s="17" t="n">
        <f aca="false">L21</f>
        <v>12</v>
      </c>
      <c r="M6" s="18" t="str">
        <f aca="false">M21</f>
        <v>عن اسماء الله الحسنى</v>
      </c>
      <c r="N6" s="18"/>
      <c r="O6" s="19" t="str">
        <f aca="false">O21</f>
        <v>رسالة كل ثلاثاء</v>
      </c>
      <c r="P6" s="19" t="str">
        <f aca="false">P21</f>
        <v>شمائل النبي ش.البدر 23
فقه النفس 9</v>
      </c>
      <c r="Q6" s="20" t="str">
        <f aca="false">Q21</f>
        <v>2 في الاسبوع في الجيم</v>
      </c>
      <c r="R6" s="20" t="str">
        <f aca="false">R21</f>
        <v>6 ساعات</v>
      </c>
      <c r="XER6" s="1"/>
      <c r="XES6" s="1"/>
      <c r="XET6" s="1"/>
      <c r="XEU6" s="1"/>
      <c r="XEV6" s="1"/>
      <c r="XEW6" s="1"/>
      <c r="XEX6" s="1"/>
      <c r="XEY6" s="1"/>
      <c r="XEZ6" s="1"/>
      <c r="XFA6" s="1"/>
      <c r="XFB6" s="1"/>
      <c r="XFC6" s="1"/>
      <c r="XFD6" s="1"/>
    </row>
    <row r="7" s="7" customFormat="true" ht="49.1" hidden="false" customHeight="true" outlineLevel="0" collapsed="false">
      <c r="A7" s="21" t="s">
        <v>30</v>
      </c>
      <c r="B7" s="22" t="n">
        <f aca="false">B26</f>
        <v>30</v>
      </c>
      <c r="C7" s="22" t="str">
        <f aca="false">C26</f>
        <v>جزءان</v>
      </c>
      <c r="D7" s="22" t="str">
        <f aca="false">D26</f>
        <v>3 أجزاء</v>
      </c>
      <c r="E7" s="22" t="n">
        <f aca="false">E26</f>
        <v>15</v>
      </c>
      <c r="F7" s="22" t="n">
        <f aca="false">F26</f>
        <v>12</v>
      </c>
      <c r="G7" s="22" t="str">
        <f aca="false">G26</f>
        <v>الفصل الثاني</v>
      </c>
      <c r="H7" s="22" t="str">
        <f aca="false">H26</f>
        <v>gob and improve my self</v>
      </c>
      <c r="I7" s="22" t="n">
        <f aca="false">I26</f>
        <v>12</v>
      </c>
      <c r="J7" s="23" t="n">
        <f aca="false">J26</f>
        <v>11</v>
      </c>
      <c r="K7" s="22" t="str">
        <f aca="false">K26</f>
        <v>3500 مطلق</v>
      </c>
      <c r="L7" s="24" t="n">
        <f aca="false">L26</f>
        <v>12</v>
      </c>
      <c r="M7" s="18" t="str">
        <f aca="false">M26</f>
        <v>عن اسماء الله الحسنى</v>
      </c>
      <c r="N7" s="18"/>
      <c r="O7" s="25" t="str">
        <f aca="false">O26</f>
        <v>رسالة كل ثلاثاء</v>
      </c>
      <c r="P7" s="25" t="str">
        <f aca="false">P26</f>
        <v>اخلاق العلماء
فقه النفس 10</v>
      </c>
      <c r="Q7" s="26" t="str">
        <f aca="false">Q26</f>
        <v>3 في الاسبوع في الجيم</v>
      </c>
      <c r="R7" s="26" t="str">
        <f aca="false">R26</f>
        <v>7 ساعات</v>
      </c>
      <c r="XER7" s="1"/>
      <c r="XES7" s="1"/>
      <c r="XET7" s="1"/>
      <c r="XEU7" s="1"/>
      <c r="XEV7" s="1"/>
      <c r="XEW7" s="1"/>
      <c r="XEX7" s="1"/>
      <c r="XEY7" s="1"/>
      <c r="XEZ7" s="1"/>
      <c r="XFA7" s="1"/>
      <c r="XFB7" s="1"/>
      <c r="XFC7" s="1"/>
      <c r="XFD7" s="1"/>
    </row>
    <row r="8" s="7" customFormat="true" ht="35.6" hidden="false" customHeight="true" outlineLevel="0" collapsed="false">
      <c r="A8" s="14" t="s">
        <v>31</v>
      </c>
      <c r="B8" s="15" t="n">
        <f aca="false">SUM(B4:B7)</f>
        <v>130</v>
      </c>
      <c r="C8" s="15"/>
      <c r="D8" s="15"/>
      <c r="E8" s="15" t="n">
        <f aca="false">SUM(E4:E7)</f>
        <v>47</v>
      </c>
      <c r="F8" s="15" t="n">
        <f aca="false">SUM(F4:F7)</f>
        <v>50</v>
      </c>
      <c r="G8" s="15"/>
      <c r="H8" s="15"/>
      <c r="I8" s="15" t="n">
        <f aca="false">SUM(I4:I7)</f>
        <v>36</v>
      </c>
      <c r="J8" s="16"/>
      <c r="K8" s="15"/>
      <c r="L8" s="27" t="n">
        <f aca="false">SUM(L4:L7)</f>
        <v>36</v>
      </c>
      <c r="M8" s="19"/>
      <c r="N8" s="19"/>
      <c r="O8" s="19" t="s">
        <v>32</v>
      </c>
      <c r="P8" s="19" t="s">
        <v>33</v>
      </c>
      <c r="Q8" s="20"/>
      <c r="R8" s="15"/>
      <c r="XER8" s="1"/>
      <c r="XES8" s="1"/>
      <c r="XET8" s="1"/>
      <c r="XEU8" s="1"/>
      <c r="XEV8" s="1"/>
      <c r="XEW8" s="1"/>
      <c r="XEX8" s="1"/>
      <c r="XEY8" s="1"/>
      <c r="XEZ8" s="1"/>
      <c r="XFA8" s="1"/>
      <c r="XFB8" s="1"/>
      <c r="XFC8" s="1"/>
      <c r="XFD8" s="1"/>
    </row>
    <row r="9" customFormat="false" ht="11.1" hidden="false" customHeight="true" outlineLevel="0" collapsed="false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</row>
    <row r="10" customFormat="false" ht="48.6" hidden="false" customHeight="true" outlineLevel="0" collapsed="false">
      <c r="A10" s="29" t="s">
        <v>34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</row>
    <row r="11" s="32" customFormat="true" ht="43.5" hidden="false" customHeight="true" outlineLevel="0" collapsed="false">
      <c r="A11" s="30" t="s">
        <v>35</v>
      </c>
      <c r="B11" s="30" t="n">
        <v>40</v>
      </c>
      <c r="C11" s="30" t="s">
        <v>36</v>
      </c>
      <c r="D11" s="30" t="s">
        <v>37</v>
      </c>
      <c r="E11" s="30" t="n">
        <f aca="false">SUM(E12:E14)</f>
        <v>2</v>
      </c>
      <c r="F11" s="30" t="n">
        <f aca="false">SUM(F12:F14)</f>
        <v>14</v>
      </c>
      <c r="G11" s="30" t="s">
        <v>38</v>
      </c>
      <c r="H11" s="30" t="s">
        <v>39</v>
      </c>
      <c r="I11" s="30" t="n">
        <f aca="false">SUM(I12:I14)</f>
        <v>8</v>
      </c>
      <c r="J11" s="30" t="s">
        <v>40</v>
      </c>
      <c r="K11" s="30" t="s">
        <v>41</v>
      </c>
      <c r="L11" s="30" t="s">
        <v>42</v>
      </c>
      <c r="M11" s="30" t="s">
        <v>43</v>
      </c>
      <c r="N11" s="30" t="s">
        <v>44</v>
      </c>
      <c r="O11" s="30" t="s">
        <v>45</v>
      </c>
      <c r="P11" s="31" t="s">
        <v>46</v>
      </c>
      <c r="Q11" s="30" t="s">
        <v>47</v>
      </c>
      <c r="R11" s="30" t="s">
        <v>48</v>
      </c>
      <c r="XER11" s="1"/>
      <c r="XES11" s="1"/>
      <c r="XET11" s="1"/>
      <c r="XEU11" s="1"/>
      <c r="XEV11" s="1"/>
      <c r="XEW11" s="1"/>
      <c r="XEX11" s="1"/>
      <c r="XEY11" s="1"/>
      <c r="XEZ11" s="1"/>
      <c r="XFA11" s="1"/>
      <c r="XFB11" s="1"/>
      <c r="XFC11" s="1"/>
      <c r="XFD11" s="1"/>
    </row>
    <row r="12" customFormat="false" ht="42" hidden="false" customHeight="true" outlineLevel="0" collapsed="false">
      <c r="A12" s="33" t="s">
        <v>49</v>
      </c>
      <c r="B12" s="33" t="s">
        <v>50</v>
      </c>
      <c r="C12" s="33" t="s">
        <v>37</v>
      </c>
      <c r="D12" s="33" t="s">
        <v>37</v>
      </c>
      <c r="E12" s="33" t="n">
        <v>0</v>
      </c>
      <c r="F12" s="33" t="n">
        <v>9</v>
      </c>
      <c r="G12" s="33" t="s">
        <v>38</v>
      </c>
      <c r="H12" s="33" t="s">
        <v>51</v>
      </c>
      <c r="I12" s="33" t="n">
        <v>5</v>
      </c>
      <c r="J12" s="33" t="n">
        <v>3</v>
      </c>
      <c r="K12" s="33" t="s">
        <v>52</v>
      </c>
      <c r="L12" s="33" t="s">
        <v>53</v>
      </c>
      <c r="M12" s="34" t="s">
        <v>54</v>
      </c>
      <c r="N12" s="34" t="s">
        <v>55</v>
      </c>
      <c r="O12" s="33" t="s">
        <v>56</v>
      </c>
      <c r="P12" s="33" t="s">
        <v>57</v>
      </c>
      <c r="Q12" s="33" t="s">
        <v>58</v>
      </c>
      <c r="R12" s="33" t="s">
        <v>59</v>
      </c>
    </row>
    <row r="13" customFormat="false" ht="42" hidden="false" customHeight="true" outlineLevel="0" collapsed="false">
      <c r="A13" s="35" t="s">
        <v>60</v>
      </c>
      <c r="B13" s="35" t="s">
        <v>61</v>
      </c>
      <c r="C13" s="35" t="s">
        <v>37</v>
      </c>
      <c r="D13" s="35" t="s">
        <v>62</v>
      </c>
      <c r="E13" s="35" t="n">
        <v>0</v>
      </c>
      <c r="F13" s="35" t="n">
        <v>3</v>
      </c>
      <c r="G13" s="35" t="s">
        <v>38</v>
      </c>
      <c r="H13" s="35" t="s">
        <v>63</v>
      </c>
      <c r="I13" s="35" t="n">
        <v>3</v>
      </c>
      <c r="J13" s="35" t="n">
        <v>3</v>
      </c>
      <c r="K13" s="35" t="s">
        <v>64</v>
      </c>
      <c r="L13" s="35" t="s">
        <v>53</v>
      </c>
      <c r="M13" s="34" t="s">
        <v>26</v>
      </c>
      <c r="N13" s="34" t="s">
        <v>55</v>
      </c>
      <c r="O13" s="35"/>
      <c r="P13" s="35" t="s">
        <v>65</v>
      </c>
      <c r="Q13" s="35" t="s">
        <v>58</v>
      </c>
      <c r="R13" s="35" t="s">
        <v>66</v>
      </c>
    </row>
    <row r="14" customFormat="false" ht="42" hidden="false" customHeight="true" outlineLevel="0" collapsed="false">
      <c r="A14" s="33" t="s">
        <v>67</v>
      </c>
      <c r="B14" s="33" t="s">
        <v>68</v>
      </c>
      <c r="C14" s="33" t="s">
        <v>37</v>
      </c>
      <c r="D14" s="33" t="s">
        <v>37</v>
      </c>
      <c r="E14" s="33" t="n">
        <v>2</v>
      </c>
      <c r="F14" s="33" t="n">
        <v>2</v>
      </c>
      <c r="G14" s="33" t="s">
        <v>38</v>
      </c>
      <c r="H14" s="33" t="s">
        <v>69</v>
      </c>
      <c r="I14" s="33" t="n">
        <v>0</v>
      </c>
      <c r="J14" s="33" t="n">
        <v>3</v>
      </c>
      <c r="K14" s="33" t="s">
        <v>70</v>
      </c>
      <c r="L14" s="33" t="n">
        <v>2</v>
      </c>
      <c r="M14" s="34"/>
      <c r="N14" s="34" t="s">
        <v>71</v>
      </c>
      <c r="O14" s="33" t="s">
        <v>72</v>
      </c>
      <c r="P14" s="33" t="s">
        <v>73</v>
      </c>
      <c r="Q14" s="33" t="s">
        <v>58</v>
      </c>
      <c r="R14" s="33" t="s">
        <v>48</v>
      </c>
    </row>
    <row r="15" customFormat="false" ht="48.6" hidden="false" customHeight="true" outlineLevel="0" collapsed="false">
      <c r="A15" s="29" t="s">
        <v>74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</row>
    <row r="16" s="7" customFormat="true" ht="47.4" hidden="false" customHeight="true" outlineLevel="0" collapsed="false">
      <c r="A16" s="30" t="s">
        <v>35</v>
      </c>
      <c r="B16" s="30" t="n">
        <v>30</v>
      </c>
      <c r="C16" s="30" t="s">
        <v>75</v>
      </c>
      <c r="D16" s="30" t="s">
        <v>75</v>
      </c>
      <c r="E16" s="30" t="n">
        <f aca="false">SUM(E17:E19)</f>
        <v>15</v>
      </c>
      <c r="F16" s="30" t="n">
        <f aca="false">SUM(F17:F19)</f>
        <v>12</v>
      </c>
      <c r="G16" s="30" t="s">
        <v>76</v>
      </c>
      <c r="H16" s="30" t="s">
        <v>77</v>
      </c>
      <c r="I16" s="30" t="n">
        <f aca="false">SUM(I17:I19)</f>
        <v>4</v>
      </c>
      <c r="J16" s="30" t="n">
        <v>7</v>
      </c>
      <c r="K16" s="30" t="s">
        <v>78</v>
      </c>
      <c r="L16" s="30" t="n">
        <f aca="false">SUM(L17:L19)</f>
        <v>12</v>
      </c>
      <c r="M16" s="30" t="s">
        <v>79</v>
      </c>
      <c r="N16" s="30" t="s">
        <v>80</v>
      </c>
      <c r="O16" s="30" t="s">
        <v>45</v>
      </c>
      <c r="P16" s="30" t="s">
        <v>81</v>
      </c>
      <c r="Q16" s="30" t="s">
        <v>82</v>
      </c>
      <c r="R16" s="30" t="s">
        <v>83</v>
      </c>
      <c r="XER16" s="1"/>
      <c r="XES16" s="1"/>
      <c r="XET16" s="1"/>
      <c r="XEU16" s="1"/>
      <c r="XEV16" s="1"/>
      <c r="XEW16" s="1"/>
      <c r="XEX16" s="1"/>
      <c r="XEY16" s="1"/>
      <c r="XEZ16" s="1"/>
      <c r="XFA16" s="1"/>
      <c r="XFB16" s="1"/>
      <c r="XFC16" s="1"/>
      <c r="XFD16" s="1"/>
    </row>
    <row r="17" customFormat="false" ht="42.1" hidden="false" customHeight="true" outlineLevel="0" collapsed="false">
      <c r="A17" s="36" t="s">
        <v>84</v>
      </c>
      <c r="B17" s="35" t="s">
        <v>85</v>
      </c>
      <c r="C17" s="35" t="s">
        <v>62</v>
      </c>
      <c r="D17" s="35" t="s">
        <v>62</v>
      </c>
      <c r="E17" s="35" t="n">
        <v>5</v>
      </c>
      <c r="F17" s="35" t="n">
        <v>4</v>
      </c>
      <c r="G17" s="35" t="s">
        <v>38</v>
      </c>
      <c r="H17" s="35" t="s">
        <v>86</v>
      </c>
      <c r="I17" s="35" t="n">
        <v>0</v>
      </c>
      <c r="J17" s="35" t="n">
        <v>5</v>
      </c>
      <c r="K17" s="35" t="s">
        <v>41</v>
      </c>
      <c r="L17" s="35" t="n">
        <v>4</v>
      </c>
      <c r="M17" s="34" t="s">
        <v>26</v>
      </c>
      <c r="N17" s="34" t="s">
        <v>52</v>
      </c>
      <c r="O17" s="35"/>
      <c r="P17" s="35" t="s">
        <v>87</v>
      </c>
      <c r="Q17" s="35" t="s">
        <v>88</v>
      </c>
      <c r="R17" s="35" t="s">
        <v>89</v>
      </c>
    </row>
    <row r="18" customFormat="false" ht="42.1" hidden="false" customHeight="true" outlineLevel="0" collapsed="false">
      <c r="A18" s="33" t="s">
        <v>90</v>
      </c>
      <c r="B18" s="33" t="s">
        <v>91</v>
      </c>
      <c r="C18" s="33" t="s">
        <v>75</v>
      </c>
      <c r="D18" s="33" t="s">
        <v>62</v>
      </c>
      <c r="E18" s="33" t="n">
        <v>5</v>
      </c>
      <c r="F18" s="33" t="n">
        <v>4</v>
      </c>
      <c r="G18" s="33" t="s">
        <v>92</v>
      </c>
      <c r="H18" s="33" t="s">
        <v>93</v>
      </c>
      <c r="I18" s="33" t="n">
        <v>0</v>
      </c>
      <c r="J18" s="33" t="n">
        <v>5</v>
      </c>
      <c r="K18" s="33" t="s">
        <v>94</v>
      </c>
      <c r="L18" s="33" t="n">
        <v>4</v>
      </c>
      <c r="M18" s="34"/>
      <c r="N18" s="34"/>
      <c r="O18" s="33"/>
      <c r="P18" s="33" t="s">
        <v>87</v>
      </c>
      <c r="Q18" s="33" t="s">
        <v>88</v>
      </c>
      <c r="R18" s="33" t="s">
        <v>83</v>
      </c>
    </row>
    <row r="19" customFormat="false" ht="42.1" hidden="false" customHeight="true" outlineLevel="0" collapsed="false">
      <c r="A19" s="35" t="s">
        <v>95</v>
      </c>
      <c r="B19" s="35" t="s">
        <v>96</v>
      </c>
      <c r="C19" s="35" t="s">
        <v>75</v>
      </c>
      <c r="D19" s="35" t="s">
        <v>75</v>
      </c>
      <c r="E19" s="35" t="n">
        <v>5</v>
      </c>
      <c r="F19" s="35" t="n">
        <v>4</v>
      </c>
      <c r="G19" s="35" t="s">
        <v>97</v>
      </c>
      <c r="H19" s="35" t="s">
        <v>93</v>
      </c>
      <c r="I19" s="35" t="n">
        <v>4</v>
      </c>
      <c r="J19" s="35" t="n">
        <v>7</v>
      </c>
      <c r="K19" s="35" t="s">
        <v>98</v>
      </c>
      <c r="L19" s="35" t="n">
        <v>4</v>
      </c>
      <c r="M19" s="34"/>
      <c r="N19" s="34"/>
      <c r="O19" s="35"/>
      <c r="P19" s="35" t="s">
        <v>87</v>
      </c>
      <c r="Q19" s="35" t="s">
        <v>88</v>
      </c>
      <c r="R19" s="35" t="s">
        <v>83</v>
      </c>
    </row>
    <row r="20" customFormat="false" ht="48.6" hidden="false" customHeight="true" outlineLevel="0" collapsed="false">
      <c r="A20" s="29" t="s">
        <v>99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 s="7" customFormat="true" ht="43.85" hidden="false" customHeight="true" outlineLevel="0" collapsed="false">
      <c r="A21" s="30" t="s">
        <v>29</v>
      </c>
      <c r="B21" s="30" t="n">
        <v>30</v>
      </c>
      <c r="C21" s="30" t="s">
        <v>100</v>
      </c>
      <c r="D21" s="30" t="s">
        <v>101</v>
      </c>
      <c r="E21" s="30" t="n">
        <f aca="false">SUM(E22:E24)</f>
        <v>15</v>
      </c>
      <c r="F21" s="30" t="n">
        <f aca="false">SUM(F22:F24)</f>
        <v>12</v>
      </c>
      <c r="G21" s="30" t="s">
        <v>97</v>
      </c>
      <c r="H21" s="30" t="s">
        <v>102</v>
      </c>
      <c r="I21" s="30" t="n">
        <f aca="false">SUM(I22,,I23,I24)</f>
        <v>12</v>
      </c>
      <c r="J21" s="30" t="n">
        <v>11</v>
      </c>
      <c r="K21" s="30" t="s">
        <v>103</v>
      </c>
      <c r="L21" s="30" t="n">
        <f aca="false">SUM(L22:L24)</f>
        <v>12</v>
      </c>
      <c r="M21" s="30" t="s">
        <v>79</v>
      </c>
      <c r="N21" s="30" t="s">
        <v>104</v>
      </c>
      <c r="O21" s="30" t="s">
        <v>105</v>
      </c>
      <c r="P21" s="30" t="s">
        <v>106</v>
      </c>
      <c r="Q21" s="30" t="s">
        <v>107</v>
      </c>
      <c r="R21" s="30" t="s">
        <v>108</v>
      </c>
      <c r="XER21" s="1"/>
      <c r="XES21" s="1"/>
      <c r="XET21" s="1"/>
      <c r="XEU21" s="1"/>
      <c r="XEV21" s="1"/>
      <c r="XEW21" s="1"/>
      <c r="XEX21" s="1"/>
      <c r="XEY21" s="1"/>
      <c r="XEZ21" s="1"/>
      <c r="XFA21" s="1"/>
      <c r="XFB21" s="1"/>
      <c r="XFC21" s="1"/>
      <c r="XFD21" s="1"/>
    </row>
    <row r="22" customFormat="false" ht="43.85" hidden="false" customHeight="true" outlineLevel="0" collapsed="false">
      <c r="A22" s="36" t="s">
        <v>109</v>
      </c>
      <c r="B22" s="35" t="s">
        <v>110</v>
      </c>
      <c r="C22" s="35" t="s">
        <v>111</v>
      </c>
      <c r="D22" s="35" t="s">
        <v>75</v>
      </c>
      <c r="E22" s="35" t="n">
        <v>5</v>
      </c>
      <c r="F22" s="35" t="n">
        <v>4</v>
      </c>
      <c r="G22" s="35" t="s">
        <v>97</v>
      </c>
      <c r="H22" s="35" t="s">
        <v>112</v>
      </c>
      <c r="I22" s="35" t="n">
        <v>4</v>
      </c>
      <c r="J22" s="35" t="n">
        <v>9</v>
      </c>
      <c r="K22" s="35" t="s">
        <v>113</v>
      </c>
      <c r="L22" s="35" t="n">
        <v>4</v>
      </c>
      <c r="M22" s="34" t="s">
        <v>26</v>
      </c>
      <c r="N22" s="34" t="s">
        <v>114</v>
      </c>
      <c r="O22" s="35"/>
      <c r="P22" s="35" t="s">
        <v>115</v>
      </c>
      <c r="Q22" s="35" t="s">
        <v>116</v>
      </c>
      <c r="R22" s="35" t="s">
        <v>117</v>
      </c>
    </row>
    <row r="23" customFormat="false" ht="43.85" hidden="false" customHeight="true" outlineLevel="0" collapsed="false">
      <c r="A23" s="33" t="s">
        <v>118</v>
      </c>
      <c r="B23" s="33" t="s">
        <v>119</v>
      </c>
      <c r="C23" s="33" t="s">
        <v>111</v>
      </c>
      <c r="D23" s="33" t="s">
        <v>120</v>
      </c>
      <c r="E23" s="33" t="n">
        <v>5</v>
      </c>
      <c r="F23" s="33" t="n">
        <v>4</v>
      </c>
      <c r="G23" s="33" t="s">
        <v>97</v>
      </c>
      <c r="H23" s="33" t="s">
        <v>121</v>
      </c>
      <c r="I23" s="33" t="n">
        <v>4</v>
      </c>
      <c r="J23" s="33" t="n">
        <v>11</v>
      </c>
      <c r="K23" s="33" t="s">
        <v>78</v>
      </c>
      <c r="L23" s="33" t="n">
        <v>4</v>
      </c>
      <c r="M23" s="34"/>
      <c r="N23" s="34"/>
      <c r="O23" s="33"/>
      <c r="P23" s="33" t="s">
        <v>115</v>
      </c>
      <c r="Q23" s="33" t="s">
        <v>116</v>
      </c>
      <c r="R23" s="33" t="s">
        <v>122</v>
      </c>
    </row>
    <row r="24" customFormat="false" ht="43.85" hidden="false" customHeight="true" outlineLevel="0" collapsed="false">
      <c r="A24" s="35" t="s">
        <v>123</v>
      </c>
      <c r="B24" s="37" t="s">
        <v>124</v>
      </c>
      <c r="C24" s="35" t="s">
        <v>100</v>
      </c>
      <c r="D24" s="35" t="s">
        <v>125</v>
      </c>
      <c r="E24" s="35" t="n">
        <v>5</v>
      </c>
      <c r="F24" s="35" t="n">
        <v>4</v>
      </c>
      <c r="G24" s="35" t="s">
        <v>97</v>
      </c>
      <c r="H24" s="35" t="s">
        <v>121</v>
      </c>
      <c r="I24" s="35" t="n">
        <v>4</v>
      </c>
      <c r="J24" s="35" t="s">
        <v>126</v>
      </c>
      <c r="K24" s="35" t="s">
        <v>103</v>
      </c>
      <c r="L24" s="35" t="n">
        <v>4</v>
      </c>
      <c r="M24" s="34"/>
      <c r="N24" s="34"/>
      <c r="O24" s="35"/>
      <c r="P24" s="35" t="s">
        <v>127</v>
      </c>
      <c r="Q24" s="35" t="s">
        <v>128</v>
      </c>
      <c r="R24" s="35" t="s">
        <v>108</v>
      </c>
    </row>
    <row r="25" customFormat="false" ht="48.6" hidden="false" customHeight="true" outlineLevel="0" collapsed="false">
      <c r="A25" s="29" t="s">
        <v>129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</row>
    <row r="26" s="7" customFormat="true" ht="43.85" hidden="false" customHeight="true" outlineLevel="0" collapsed="false">
      <c r="A26" s="30" t="s">
        <v>29</v>
      </c>
      <c r="B26" s="30" t="n">
        <v>30</v>
      </c>
      <c r="C26" s="30" t="s">
        <v>100</v>
      </c>
      <c r="D26" s="30" t="s">
        <v>101</v>
      </c>
      <c r="E26" s="30" t="n">
        <f aca="false">SUM(E27:E29)</f>
        <v>15</v>
      </c>
      <c r="F26" s="30" t="n">
        <f aca="false">SUM(F27:F29)</f>
        <v>12</v>
      </c>
      <c r="G26" s="30" t="s">
        <v>97</v>
      </c>
      <c r="H26" s="30" t="s">
        <v>130</v>
      </c>
      <c r="I26" s="30" t="n">
        <f aca="false">SUM(I27:I29)</f>
        <v>12</v>
      </c>
      <c r="J26" s="30" t="n">
        <v>11</v>
      </c>
      <c r="K26" s="30" t="s">
        <v>131</v>
      </c>
      <c r="L26" s="30" t="n">
        <f aca="false">SUM(L27:L29)</f>
        <v>12</v>
      </c>
      <c r="M26" s="30" t="s">
        <v>79</v>
      </c>
      <c r="N26" s="30" t="s">
        <v>132</v>
      </c>
      <c r="O26" s="30" t="s">
        <v>105</v>
      </c>
      <c r="P26" s="30" t="s">
        <v>133</v>
      </c>
      <c r="Q26" s="30" t="s">
        <v>134</v>
      </c>
      <c r="R26" s="30" t="s">
        <v>83</v>
      </c>
      <c r="XER26" s="1"/>
      <c r="XES26" s="1"/>
      <c r="XET26" s="1"/>
      <c r="XEU26" s="1"/>
      <c r="XEV26" s="1"/>
      <c r="XEW26" s="1"/>
      <c r="XEX26" s="1"/>
      <c r="XEY26" s="1"/>
      <c r="XEZ26" s="1"/>
      <c r="XFA26" s="1"/>
      <c r="XFB26" s="1"/>
      <c r="XFC26" s="1"/>
      <c r="XFD26" s="1"/>
    </row>
    <row r="27" customFormat="false" ht="43.85" hidden="false" customHeight="true" outlineLevel="0" collapsed="false">
      <c r="A27" s="36" t="s">
        <v>135</v>
      </c>
      <c r="B27" s="35" t="s">
        <v>136</v>
      </c>
      <c r="C27" s="35" t="s">
        <v>100</v>
      </c>
      <c r="D27" s="35" t="s">
        <v>101</v>
      </c>
      <c r="E27" s="35" t="n">
        <v>5</v>
      </c>
      <c r="F27" s="35" t="n">
        <v>4</v>
      </c>
      <c r="G27" s="35" t="s">
        <v>97</v>
      </c>
      <c r="H27" s="35" t="s">
        <v>121</v>
      </c>
      <c r="I27" s="35" t="n">
        <v>4</v>
      </c>
      <c r="J27" s="35" t="n">
        <v>11</v>
      </c>
      <c r="K27" s="35" t="s">
        <v>137</v>
      </c>
      <c r="L27" s="35" t="n">
        <v>4</v>
      </c>
      <c r="M27" s="34" t="s">
        <v>26</v>
      </c>
      <c r="N27" s="34" t="s">
        <v>114</v>
      </c>
      <c r="O27" s="35"/>
      <c r="P27" s="35" t="s">
        <v>138</v>
      </c>
      <c r="Q27" s="35" t="s">
        <v>139</v>
      </c>
      <c r="R27" s="35" t="s">
        <v>83</v>
      </c>
    </row>
    <row r="28" customFormat="false" ht="43.85" hidden="false" customHeight="true" outlineLevel="0" collapsed="false">
      <c r="A28" s="33" t="s">
        <v>140</v>
      </c>
      <c r="B28" s="33" t="s">
        <v>141</v>
      </c>
      <c r="C28" s="33" t="s">
        <v>100</v>
      </c>
      <c r="D28" s="33" t="s">
        <v>101</v>
      </c>
      <c r="E28" s="33" t="n">
        <v>5</v>
      </c>
      <c r="F28" s="33" t="n">
        <v>4</v>
      </c>
      <c r="G28" s="33" t="s">
        <v>97</v>
      </c>
      <c r="H28" s="33" t="s">
        <v>121</v>
      </c>
      <c r="I28" s="33" t="n">
        <v>4</v>
      </c>
      <c r="J28" s="33" t="n">
        <v>11</v>
      </c>
      <c r="K28" s="33" t="s">
        <v>142</v>
      </c>
      <c r="L28" s="33" t="n">
        <v>4</v>
      </c>
      <c r="M28" s="34"/>
      <c r="N28" s="34"/>
      <c r="O28" s="33"/>
      <c r="P28" s="33" t="s">
        <v>143</v>
      </c>
      <c r="Q28" s="33" t="s">
        <v>139</v>
      </c>
      <c r="R28" s="33" t="s">
        <v>83</v>
      </c>
    </row>
    <row r="29" customFormat="false" ht="43.85" hidden="false" customHeight="true" outlineLevel="0" collapsed="false">
      <c r="A29" s="35" t="s">
        <v>144</v>
      </c>
      <c r="B29" s="37" t="s">
        <v>145</v>
      </c>
      <c r="C29" s="35" t="s">
        <v>100</v>
      </c>
      <c r="D29" s="35" t="s">
        <v>101</v>
      </c>
      <c r="E29" s="35" t="n">
        <v>5</v>
      </c>
      <c r="F29" s="35" t="n">
        <v>4</v>
      </c>
      <c r="G29" s="35" t="s">
        <v>146</v>
      </c>
      <c r="H29" s="35" t="s">
        <v>121</v>
      </c>
      <c r="I29" s="35" t="n">
        <v>4</v>
      </c>
      <c r="J29" s="35" t="n">
        <v>11</v>
      </c>
      <c r="K29" s="35" t="s">
        <v>131</v>
      </c>
      <c r="L29" s="35" t="n">
        <v>4</v>
      </c>
      <c r="M29" s="34"/>
      <c r="N29" s="34"/>
      <c r="O29" s="35"/>
      <c r="P29" s="35" t="s">
        <v>147</v>
      </c>
      <c r="Q29" s="35" t="s">
        <v>139</v>
      </c>
      <c r="R29" s="35" t="s">
        <v>83</v>
      </c>
    </row>
    <row r="30" customFormat="false" ht="36.55" hidden="false" customHeight="true" outlineLevel="0" collapsed="false">
      <c r="E30" s="1" t="n">
        <f aca="false">SUM(E26,E21,E16,E11)</f>
        <v>47</v>
      </c>
      <c r="F30" s="1" t="n">
        <f aca="false">SUM(F26,F21,F16,F11)</f>
        <v>50</v>
      </c>
      <c r="I30" s="1" t="n">
        <f aca="false">SUM(I26,I21,I16,I11)</f>
        <v>36</v>
      </c>
      <c r="L30" s="1" t="n">
        <f aca="false">SUM(L26,L21,L16,L11)</f>
        <v>36</v>
      </c>
    </row>
  </sheetData>
  <mergeCells count="24">
    <mergeCell ref="A1:R1"/>
    <mergeCell ref="A2:A3"/>
    <mergeCell ref="B2:D2"/>
    <mergeCell ref="E2:F2"/>
    <mergeCell ref="G2:G3"/>
    <mergeCell ref="H2:I2"/>
    <mergeCell ref="J2:K2"/>
    <mergeCell ref="L2:P2"/>
    <mergeCell ref="Q2:R2"/>
    <mergeCell ref="M4:M7"/>
    <mergeCell ref="N4:N7"/>
    <mergeCell ref="A9:R9"/>
    <mergeCell ref="A10:R10"/>
    <mergeCell ref="M13:M14"/>
    <mergeCell ref="N13:N14"/>
    <mergeCell ref="A15:R15"/>
    <mergeCell ref="M17:M19"/>
    <mergeCell ref="N17:N19"/>
    <mergeCell ref="A20:R20"/>
    <mergeCell ref="M22:M24"/>
    <mergeCell ref="N22:N24"/>
    <mergeCell ref="A25:R25"/>
    <mergeCell ref="M27:M29"/>
    <mergeCell ref="N27:N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true" tabSelected="false" showOutlineSymbols="true" defaultGridColor="true" view="normal" topLeftCell="E1" colorId="64" zoomScale="37" zoomScaleNormal="37" zoomScalePageLayoutView="100" workbookViewId="0">
      <selection pane="topLeft" activeCell="B8" activeCellId="0" sqref="B8"/>
    </sheetView>
  </sheetViews>
  <sheetFormatPr defaultColWidth="8.6796875" defaultRowHeight="13.8" customHeight="false" zeroHeight="false" outlineLevelRow="0" outlineLevelCol="0"/>
  <cols>
    <col collapsed="false" customWidth="true" hidden="false" outlineLevel="0" max="1" min="1" style="1" width="18.34"/>
    <col collapsed="false" customWidth="true" hidden="false" outlineLevel="0" max="8" min="2" style="1" width="102.35"/>
    <col collapsed="false" customWidth="true" hidden="false" outlineLevel="0" max="9" min="9" style="1" width="44.89"/>
    <col collapsed="false" customWidth="true" hidden="false" outlineLevel="0" max="10" min="10" style="1" width="23.27"/>
    <col collapsed="false" customWidth="true" hidden="false" outlineLevel="0" max="11" min="11" style="1" width="12.68"/>
    <col collapsed="false" customWidth="true" hidden="false" outlineLevel="0" max="12" min="12" style="1" width="64.28"/>
    <col collapsed="false" customWidth="true" hidden="false" outlineLevel="0" max="24" min="15" style="1" width="18.84"/>
    <col collapsed="false" customWidth="true" hidden="false" outlineLevel="0" max="25" min="25" style="1" width="10.48"/>
    <col collapsed="false" customWidth="true" hidden="false" outlineLevel="0" max="26" min="26" style="1" width="9.44"/>
    <col collapsed="false" customWidth="true" hidden="false" outlineLevel="0" max="28" min="27" style="1" width="18.84"/>
  </cols>
  <sheetData>
    <row r="1" s="40" customFormat="true" ht="53.55" hidden="false" customHeight="true" outlineLevel="0" collapsed="false">
      <c r="A1" s="38" t="s">
        <v>148</v>
      </c>
      <c r="B1" s="38" t="s">
        <v>149</v>
      </c>
      <c r="C1" s="38" t="s">
        <v>150</v>
      </c>
      <c r="D1" s="38" t="s">
        <v>151</v>
      </c>
      <c r="E1" s="38" t="s">
        <v>152</v>
      </c>
      <c r="F1" s="38" t="s">
        <v>153</v>
      </c>
      <c r="G1" s="38" t="s">
        <v>154</v>
      </c>
      <c r="H1" s="38" t="s">
        <v>155</v>
      </c>
      <c r="I1" s="38" t="s">
        <v>156</v>
      </c>
      <c r="J1" s="38" t="s">
        <v>157</v>
      </c>
      <c r="K1" s="39" t="s">
        <v>158</v>
      </c>
      <c r="L1" s="39" t="s">
        <v>159</v>
      </c>
      <c r="XEX1" s="1"/>
      <c r="XEY1" s="1"/>
      <c r="XEZ1" s="1"/>
      <c r="XFA1" s="1"/>
      <c r="XFB1" s="1"/>
      <c r="XFC1" s="1"/>
      <c r="XFD1" s="1"/>
    </row>
    <row r="2" s="42" customFormat="true" ht="40.4" hidden="false" customHeight="true" outlineLevel="0" collapsed="false">
      <c r="A2" s="41" t="n">
        <v>1</v>
      </c>
      <c r="E2" s="41" t="s">
        <v>160</v>
      </c>
      <c r="F2" s="41" t="s">
        <v>161</v>
      </c>
      <c r="G2" s="41" t="s">
        <v>162</v>
      </c>
      <c r="H2" s="41" t="s">
        <v>163</v>
      </c>
      <c r="I2" s="41"/>
      <c r="J2" s="41"/>
      <c r="K2" s="41"/>
      <c r="L2" s="41"/>
      <c r="XEX2" s="1"/>
      <c r="XEY2" s="1"/>
      <c r="XEZ2" s="1"/>
      <c r="XFA2" s="1"/>
      <c r="XFB2" s="1"/>
      <c r="XFC2" s="1"/>
      <c r="XFD2" s="1"/>
    </row>
    <row r="3" s="42" customFormat="true" ht="40.4" hidden="false" customHeight="true" outlineLevel="0" collapsed="false">
      <c r="A3" s="41" t="n">
        <v>2</v>
      </c>
      <c r="B3" s="41" t="s">
        <v>164</v>
      </c>
      <c r="C3" s="41" t="s">
        <v>165</v>
      </c>
      <c r="D3" s="41" t="s">
        <v>166</v>
      </c>
      <c r="E3" s="41" t="s">
        <v>167</v>
      </c>
      <c r="F3" s="41" t="s">
        <v>161</v>
      </c>
      <c r="G3" s="41" t="s">
        <v>168</v>
      </c>
      <c r="H3" s="41" t="s">
        <v>163</v>
      </c>
      <c r="I3" s="41"/>
      <c r="J3" s="41"/>
      <c r="K3" s="41"/>
      <c r="L3" s="41"/>
      <c r="XEX3" s="1"/>
      <c r="XEY3" s="1"/>
      <c r="XEZ3" s="1"/>
      <c r="XFA3" s="1"/>
      <c r="XFB3" s="1"/>
      <c r="XFC3" s="1"/>
      <c r="XFD3" s="1"/>
    </row>
    <row r="4" s="42" customFormat="true" ht="40.4" hidden="false" customHeight="true" outlineLevel="0" collapsed="false">
      <c r="A4" s="41" t="n">
        <v>3</v>
      </c>
      <c r="B4" s="41" t="s">
        <v>164</v>
      </c>
      <c r="C4" s="41" t="s">
        <v>165</v>
      </c>
      <c r="D4" s="41" t="s">
        <v>169</v>
      </c>
      <c r="E4" s="41" t="s">
        <v>170</v>
      </c>
      <c r="F4" s="41" t="s">
        <v>171</v>
      </c>
      <c r="G4" s="41" t="s">
        <v>162</v>
      </c>
      <c r="H4" s="41" t="s">
        <v>163</v>
      </c>
      <c r="I4" s="41"/>
      <c r="J4" s="41"/>
      <c r="K4" s="41"/>
      <c r="L4" s="41"/>
      <c r="XEX4" s="1"/>
      <c r="XEY4" s="1"/>
      <c r="XEZ4" s="1"/>
      <c r="XFA4" s="1"/>
      <c r="XFB4" s="1"/>
      <c r="XFC4" s="1"/>
      <c r="XFD4" s="1"/>
    </row>
    <row r="5" s="42" customFormat="true" ht="40.4" hidden="false" customHeight="true" outlineLevel="0" collapsed="false">
      <c r="A5" s="41" t="n">
        <v>4</v>
      </c>
      <c r="B5" s="41" t="s">
        <v>164</v>
      </c>
      <c r="C5" s="41" t="s">
        <v>165</v>
      </c>
      <c r="D5" s="41" t="s">
        <v>166</v>
      </c>
      <c r="E5" s="41" t="s">
        <v>172</v>
      </c>
      <c r="F5" s="41" t="s">
        <v>161</v>
      </c>
      <c r="G5" s="41" t="s">
        <v>168</v>
      </c>
      <c r="H5" s="41" t="s">
        <v>173</v>
      </c>
      <c r="I5" s="41"/>
      <c r="J5" s="41"/>
      <c r="K5" s="41"/>
      <c r="L5" s="41"/>
      <c r="XEX5" s="1"/>
      <c r="XEY5" s="1"/>
      <c r="XEZ5" s="1"/>
      <c r="XFA5" s="1"/>
      <c r="XFB5" s="1"/>
      <c r="XFC5" s="1"/>
      <c r="XFD5" s="1"/>
    </row>
    <row r="6" s="42" customFormat="true" ht="40.4" hidden="false" customHeight="true" outlineLevel="0" collapsed="false">
      <c r="A6" s="41" t="n">
        <v>5</v>
      </c>
      <c r="B6" s="41" t="s">
        <v>164</v>
      </c>
      <c r="C6" s="41" t="s">
        <v>165</v>
      </c>
      <c r="D6" s="41" t="s">
        <v>174</v>
      </c>
      <c r="E6" s="41" t="s">
        <v>175</v>
      </c>
      <c r="F6" s="43" t="s">
        <v>171</v>
      </c>
      <c r="G6" s="41" t="s">
        <v>176</v>
      </c>
      <c r="H6" s="41" t="s">
        <v>173</v>
      </c>
      <c r="I6" s="41"/>
      <c r="J6" s="41"/>
      <c r="K6" s="41"/>
      <c r="L6" s="41"/>
      <c r="XEX6" s="1"/>
      <c r="XEY6" s="1"/>
      <c r="XEZ6" s="1"/>
      <c r="XFA6" s="1"/>
      <c r="XFB6" s="1"/>
      <c r="XFC6" s="1"/>
      <c r="XFD6" s="1"/>
    </row>
    <row r="7" s="42" customFormat="true" ht="41.45" hidden="false" customHeight="true" outlineLevel="0" collapsed="false">
      <c r="A7" s="41" t="n">
        <v>6</v>
      </c>
      <c r="B7" s="41" t="s">
        <v>177</v>
      </c>
      <c r="C7" s="41" t="s">
        <v>178</v>
      </c>
      <c r="D7" s="41" t="s">
        <v>179</v>
      </c>
      <c r="E7" s="41" t="s">
        <v>180</v>
      </c>
      <c r="F7" s="41" t="s">
        <v>181</v>
      </c>
      <c r="G7" s="41" t="s">
        <v>182</v>
      </c>
      <c r="H7" s="41" t="s">
        <v>183</v>
      </c>
      <c r="I7" s="41" t="s">
        <v>184</v>
      </c>
      <c r="J7" s="41"/>
      <c r="K7" s="41"/>
      <c r="L7" s="41"/>
      <c r="XEX7" s="1"/>
      <c r="XEY7" s="1"/>
      <c r="XEZ7" s="1"/>
      <c r="XFA7" s="1"/>
      <c r="XFB7" s="1"/>
      <c r="XFC7" s="1"/>
      <c r="XFD7" s="1"/>
    </row>
    <row r="8" s="42" customFormat="true" ht="41.45" hidden="false" customHeight="true" outlineLevel="0" collapsed="false">
      <c r="A8" s="44" t="n">
        <v>7</v>
      </c>
      <c r="B8" s="41" t="s">
        <v>177</v>
      </c>
      <c r="C8" s="41" t="s">
        <v>185</v>
      </c>
      <c r="D8" s="41" t="s">
        <v>186</v>
      </c>
      <c r="E8" s="41" t="s">
        <v>180</v>
      </c>
      <c r="F8" s="41" t="s">
        <v>187</v>
      </c>
      <c r="G8" s="44" t="s">
        <v>188</v>
      </c>
      <c r="H8" s="41" t="s">
        <v>189</v>
      </c>
      <c r="I8" s="44" t="s">
        <v>190</v>
      </c>
      <c r="J8" s="44"/>
      <c r="K8" s="44"/>
      <c r="L8" s="44"/>
      <c r="XEX8" s="1"/>
      <c r="XEY8" s="1"/>
      <c r="XEZ8" s="1"/>
      <c r="XFA8" s="1"/>
      <c r="XFB8" s="1"/>
      <c r="XFC8" s="1"/>
      <c r="XFD8" s="1"/>
    </row>
    <row r="9" s="42" customFormat="true" ht="41.45" hidden="false" customHeight="true" outlineLevel="0" collapsed="false">
      <c r="A9" s="41" t="n">
        <v>8</v>
      </c>
      <c r="B9" s="41" t="s">
        <v>177</v>
      </c>
      <c r="C9" s="41" t="s">
        <v>185</v>
      </c>
      <c r="D9" s="41" t="s">
        <v>191</v>
      </c>
      <c r="E9" s="41" t="s">
        <v>180</v>
      </c>
      <c r="F9" s="41" t="s">
        <v>187</v>
      </c>
      <c r="G9" s="41" t="s">
        <v>182</v>
      </c>
      <c r="H9" s="41" t="s">
        <v>189</v>
      </c>
      <c r="I9" s="44" t="s">
        <v>190</v>
      </c>
      <c r="J9" s="41"/>
      <c r="K9" s="41"/>
      <c r="L9" s="41"/>
      <c r="XEX9" s="1"/>
      <c r="XEY9" s="1"/>
      <c r="XEZ9" s="1"/>
      <c r="XFA9" s="1"/>
      <c r="XFB9" s="1"/>
      <c r="XFC9" s="1"/>
      <c r="XFD9" s="1"/>
    </row>
    <row r="10" s="42" customFormat="true" ht="41.45" hidden="false" customHeight="true" outlineLevel="0" collapsed="false">
      <c r="A10" s="44" t="n">
        <v>9</v>
      </c>
      <c r="B10" s="41" t="s">
        <v>177</v>
      </c>
      <c r="C10" s="41" t="s">
        <v>192</v>
      </c>
      <c r="D10" s="41" t="s">
        <v>186</v>
      </c>
      <c r="E10" s="41" t="s">
        <v>193</v>
      </c>
      <c r="F10" s="41" t="s">
        <v>187</v>
      </c>
      <c r="G10" s="44" t="s">
        <v>188</v>
      </c>
      <c r="H10" s="41" t="s">
        <v>189</v>
      </c>
      <c r="I10" s="44" t="s">
        <v>194</v>
      </c>
      <c r="J10" s="44"/>
      <c r="K10" s="44"/>
      <c r="L10" s="44"/>
      <c r="XEX10" s="1"/>
      <c r="XEY10" s="1"/>
      <c r="XEZ10" s="1"/>
      <c r="XFA10" s="1"/>
      <c r="XFB10" s="1"/>
      <c r="XFC10" s="1"/>
      <c r="XFD10" s="1"/>
    </row>
    <row r="11" s="42" customFormat="true" ht="41.45" hidden="false" customHeight="true" outlineLevel="0" collapsed="false">
      <c r="A11" s="41" t="n">
        <v>10</v>
      </c>
      <c r="B11" s="41" t="s">
        <v>177</v>
      </c>
      <c r="C11" s="45" t="s">
        <v>195</v>
      </c>
      <c r="D11" s="41" t="s">
        <v>196</v>
      </c>
      <c r="E11" s="41" t="s">
        <v>197</v>
      </c>
      <c r="F11" s="41" t="s">
        <v>198</v>
      </c>
      <c r="G11" s="41" t="s">
        <v>199</v>
      </c>
      <c r="H11" s="41" t="s">
        <v>200</v>
      </c>
      <c r="I11" s="44" t="s">
        <v>194</v>
      </c>
      <c r="J11" s="41"/>
      <c r="K11" s="41"/>
      <c r="L11" s="41"/>
      <c r="XEX11" s="1"/>
      <c r="XEY11" s="1"/>
      <c r="XEZ11" s="1"/>
      <c r="XFA11" s="1"/>
      <c r="XFB11" s="1"/>
      <c r="XFC11" s="1"/>
      <c r="XFD11" s="1"/>
    </row>
    <row r="12" s="42" customFormat="true" ht="41.45" hidden="false" customHeight="true" outlineLevel="0" collapsed="false">
      <c r="A12" s="44" t="n">
        <v>11</v>
      </c>
      <c r="B12" s="41" t="s">
        <v>177</v>
      </c>
      <c r="C12" s="41" t="s">
        <v>195</v>
      </c>
      <c r="D12" s="41" t="s">
        <v>201</v>
      </c>
      <c r="E12" s="41" t="s">
        <v>197</v>
      </c>
      <c r="F12" s="41" t="s">
        <v>198</v>
      </c>
      <c r="G12" s="44" t="s">
        <v>202</v>
      </c>
      <c r="H12" s="41" t="s">
        <v>200</v>
      </c>
      <c r="I12" s="44" t="s">
        <v>203</v>
      </c>
      <c r="J12" s="44"/>
      <c r="K12" s="44"/>
      <c r="L12" s="44"/>
      <c r="XEX12" s="1"/>
      <c r="XEY12" s="1"/>
      <c r="XEZ12" s="1"/>
      <c r="XFA12" s="1"/>
      <c r="XFB12" s="1"/>
      <c r="XFC12" s="1"/>
      <c r="XFD12" s="1"/>
    </row>
    <row r="13" s="42" customFormat="true" ht="41.45" hidden="false" customHeight="true" outlineLevel="0" collapsed="false">
      <c r="A13" s="41" t="n">
        <v>12</v>
      </c>
      <c r="B13" s="41" t="s">
        <v>177</v>
      </c>
      <c r="C13" s="41" t="s">
        <v>204</v>
      </c>
      <c r="D13" s="41" t="s">
        <v>196</v>
      </c>
      <c r="E13" s="41" t="s">
        <v>205</v>
      </c>
      <c r="F13" s="41" t="s">
        <v>198</v>
      </c>
      <c r="G13" s="41" t="s">
        <v>199</v>
      </c>
      <c r="H13" s="41" t="s">
        <v>200</v>
      </c>
      <c r="I13" s="44" t="s">
        <v>206</v>
      </c>
      <c r="J13" s="41"/>
      <c r="K13" s="41"/>
      <c r="L13" s="41"/>
      <c r="XEX13" s="1"/>
      <c r="XEY13" s="1"/>
      <c r="XEZ13" s="1"/>
      <c r="XFA13" s="1"/>
      <c r="XFB13" s="1"/>
      <c r="XFC13" s="1"/>
      <c r="XFD13" s="1"/>
    </row>
    <row r="14" s="42" customFormat="true" ht="41.45" hidden="false" customHeight="true" outlineLevel="0" collapsed="false">
      <c r="A14" s="44" t="n">
        <v>13</v>
      </c>
      <c r="B14" s="41" t="s">
        <v>177</v>
      </c>
      <c r="C14" s="41" t="s">
        <v>204</v>
      </c>
      <c r="D14" s="41" t="s">
        <v>201</v>
      </c>
      <c r="E14" s="41" t="s">
        <v>205</v>
      </c>
      <c r="F14" s="41" t="s">
        <v>198</v>
      </c>
      <c r="G14" s="44" t="s">
        <v>202</v>
      </c>
      <c r="H14" s="41" t="s">
        <v>200</v>
      </c>
      <c r="I14" s="44" t="s">
        <v>207</v>
      </c>
      <c r="J14" s="44"/>
      <c r="K14" s="44"/>
      <c r="L14" s="44"/>
      <c r="XEX14" s="1"/>
      <c r="XEY14" s="1"/>
      <c r="XEZ14" s="1"/>
      <c r="XFA14" s="1"/>
      <c r="XFB14" s="1"/>
      <c r="XFC14" s="1"/>
      <c r="XFD14" s="1"/>
    </row>
    <row r="15" s="42" customFormat="true" ht="41.45" hidden="false" customHeight="true" outlineLevel="0" collapsed="false">
      <c r="A15" s="41" t="n">
        <v>14</v>
      </c>
      <c r="B15" s="41" t="s">
        <v>177</v>
      </c>
      <c r="C15" s="41" t="s">
        <v>204</v>
      </c>
      <c r="D15" s="41" t="s">
        <v>196</v>
      </c>
      <c r="E15" s="41" t="s">
        <v>205</v>
      </c>
      <c r="F15" s="46"/>
      <c r="G15" s="46"/>
      <c r="H15" s="46"/>
      <c r="I15" s="44" t="s">
        <v>207</v>
      </c>
      <c r="J15" s="41"/>
      <c r="K15" s="41"/>
      <c r="L15" s="41"/>
      <c r="XEX15" s="1"/>
      <c r="XEY15" s="1"/>
      <c r="XEZ15" s="1"/>
      <c r="XFA15" s="1"/>
      <c r="XFB15" s="1"/>
      <c r="XFC15" s="1"/>
      <c r="XFD15" s="1"/>
    </row>
    <row r="16" customFormat="false" ht="41.45" hidden="false" customHeight="true" outlineLevel="0" collapsed="false">
      <c r="D16" s="47"/>
    </row>
    <row r="17" customFormat="false" ht="41.45" hidden="false" customHeight="true" outlineLevel="0" collapsed="false">
      <c r="H17" s="1" t="s">
        <v>208</v>
      </c>
    </row>
    <row r="18" customFormat="false" ht="41.45" hidden="false" customHeight="true" outlineLevel="0" collapsed="false"/>
    <row r="19" customFormat="false" ht="41.45" hidden="false" customHeight="true" outlineLevel="0" collapsed="false"/>
    <row r="20" customFormat="false" ht="41.45" hidden="false" customHeight="true" outlineLevel="0" collapsed="false"/>
    <row r="21" customFormat="false" ht="41.45" hidden="false" customHeight="true" outlineLevel="0" collapsed="false"/>
    <row r="22" customFormat="false" ht="41.45" hidden="false" customHeight="true" outlineLevel="0" collapsed="false"/>
    <row r="23" customFormat="false" ht="41.45" hidden="false" customHeight="true" outlineLevel="0" collapsed="false"/>
    <row r="24" customFormat="false" ht="41.45" hidden="false" customHeight="true" outlineLevel="0" collapsed="false"/>
    <row r="25" customFormat="false" ht="41.45" hidden="false" customHeight="true" outlineLevel="0" collapsed="false"/>
    <row r="26" customFormat="false" ht="41.45" hidden="false" customHeight="true" outlineLevel="0" collapsed="false"/>
    <row r="27" customFormat="false" ht="41.45" hidden="false" customHeight="true" outlineLevel="0" collapsed="false"/>
    <row r="28" customFormat="false" ht="41.45" hidden="false" customHeight="true" outlineLevel="0" collapsed="false"/>
    <row r="29" customFormat="false" ht="41.45" hidden="false" customHeight="true" outlineLevel="0" collapsed="false"/>
    <row r="30" customFormat="false" ht="41.45" hidden="false" customHeight="true" outlineLevel="0" collapsed="false"/>
    <row r="31" customFormat="false" ht="41.45" hidden="false" customHeight="true" outlineLevel="0" collapsed="false"/>
    <row r="32" customFormat="false" ht="41.45" hidden="false" customHeight="true" outlineLevel="0" collapsed="false"/>
    <row r="33" customFormat="false" ht="41.45" hidden="false" customHeight="true" outlineLevel="0" collapsed="false"/>
    <row r="34" customFormat="false" ht="41.45" hidden="false" customHeight="true" outlineLevel="0" collapsed="false"/>
    <row r="35" customFormat="false" ht="41.45" hidden="false" customHeight="true" outlineLevel="0" collapsed="false"/>
    <row r="36" customFormat="false" ht="41.45" hidden="false" customHeight="true" outlineLevel="0" collapsed="false">
      <c r="D36" s="1" t="s">
        <v>208</v>
      </c>
    </row>
    <row r="37" customFormat="false" ht="41.45" hidden="false" customHeight="true" outlineLevel="0" collapsed="false"/>
    <row r="38" customFormat="false" ht="16.55" hidden="false" customHeight="true" outlineLevel="0" collapsed="false"/>
    <row r="1048576" customFormat="false" ht="12.8" hidden="false" customHeight="false" outlineLevel="0" collapsed="false"/>
  </sheetData>
  <mergeCells count="2">
    <mergeCell ref="I8:I9"/>
    <mergeCell ref="I10:I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true" tabSelected="true" showOutlineSymbols="true" defaultGridColor="true" view="normal" topLeftCell="A12" colorId="64" zoomScale="37" zoomScaleNormal="37" zoomScalePageLayoutView="100" workbookViewId="0">
      <selection pane="topLeft" activeCell="A1" activeCellId="0" sqref="A1"/>
    </sheetView>
  </sheetViews>
  <sheetFormatPr defaultColWidth="8.6796875" defaultRowHeight="13.8" customHeight="false" zeroHeight="false" outlineLevelRow="0" outlineLevelCol="0"/>
  <cols>
    <col collapsed="false" customWidth="true" hidden="false" outlineLevel="0" max="1" min="1" style="1" width="11.53"/>
    <col collapsed="false" customWidth="true" hidden="false" outlineLevel="0" max="8" min="2" style="1" width="38.61"/>
    <col collapsed="false" customWidth="true" hidden="false" outlineLevel="0" max="9" min="9" style="1" width="101.24"/>
    <col collapsed="false" customWidth="true" hidden="false" outlineLevel="0" max="10" min="10" style="1" width="96.25"/>
    <col collapsed="false" customWidth="true" hidden="false" outlineLevel="0" max="11" min="11" style="1" width="64.28"/>
    <col collapsed="false" customWidth="true" hidden="false" outlineLevel="0" max="23" min="14" style="1" width="18.84"/>
    <col collapsed="false" customWidth="true" hidden="false" outlineLevel="0" max="24" min="24" style="1" width="10.48"/>
    <col collapsed="false" customWidth="true" hidden="false" outlineLevel="0" max="25" min="25" style="1" width="9.44"/>
    <col collapsed="false" customWidth="true" hidden="false" outlineLevel="0" max="27" min="26" style="1" width="18.84"/>
    <col collapsed="false" customWidth="true" hidden="false" outlineLevel="0" max="16384" min="16384" style="1" width="11.53"/>
  </cols>
  <sheetData>
    <row r="1" s="40" customFormat="true" ht="123.9" hidden="false" customHeight="true" outlineLevel="0" collapsed="false">
      <c r="A1" s="48" t="s">
        <v>148</v>
      </c>
      <c r="B1" s="48" t="s">
        <v>149</v>
      </c>
      <c r="C1" s="48" t="s">
        <v>150</v>
      </c>
      <c r="D1" s="48" t="s">
        <v>151</v>
      </c>
      <c r="E1" s="48" t="s">
        <v>152</v>
      </c>
      <c r="F1" s="48" t="s">
        <v>153</v>
      </c>
      <c r="G1" s="48" t="s">
        <v>154</v>
      </c>
      <c r="H1" s="48" t="s">
        <v>155</v>
      </c>
      <c r="I1" s="48" t="s">
        <v>156</v>
      </c>
      <c r="J1" s="48" t="s">
        <v>209</v>
      </c>
      <c r="K1" s="49" t="s">
        <v>159</v>
      </c>
      <c r="XEW1" s="1"/>
      <c r="XEX1" s="1"/>
      <c r="XEY1" s="1"/>
      <c r="XEZ1" s="1"/>
      <c r="XFA1" s="1"/>
      <c r="XFB1" s="1"/>
      <c r="XFC1" s="1"/>
      <c r="XFD1" s="1"/>
    </row>
    <row r="2" s="40" customFormat="true" ht="100.15" hidden="false" customHeight="true" outlineLevel="0" collapsed="false">
      <c r="A2" s="50" t="n">
        <v>13</v>
      </c>
      <c r="B2" s="51" t="s">
        <v>210</v>
      </c>
      <c r="C2" s="50" t="s">
        <v>211</v>
      </c>
      <c r="D2" s="50" t="s">
        <v>212</v>
      </c>
      <c r="E2" s="50" t="s">
        <v>213</v>
      </c>
      <c r="F2" s="50" t="s">
        <v>214</v>
      </c>
      <c r="G2" s="50" t="s">
        <v>215</v>
      </c>
      <c r="H2" s="50" t="s">
        <v>216</v>
      </c>
      <c r="I2" s="50" t="s">
        <v>217</v>
      </c>
      <c r="J2" s="50"/>
      <c r="K2" s="50"/>
    </row>
    <row r="3" s="40" customFormat="true" ht="100.15" hidden="false" customHeight="true" outlineLevel="0" collapsed="false">
      <c r="A3" s="50" t="n">
        <v>14</v>
      </c>
      <c r="B3" s="50" t="s">
        <v>218</v>
      </c>
      <c r="C3" s="50" t="s">
        <v>219</v>
      </c>
      <c r="D3" s="50" t="s">
        <v>220</v>
      </c>
      <c r="E3" s="50" t="s">
        <v>221</v>
      </c>
      <c r="F3" s="50" t="s">
        <v>222</v>
      </c>
      <c r="G3" s="50" t="s">
        <v>223</v>
      </c>
      <c r="H3" s="50" t="s">
        <v>224</v>
      </c>
      <c r="I3" s="50" t="s">
        <v>217</v>
      </c>
      <c r="J3" s="50"/>
      <c r="K3" s="50"/>
    </row>
    <row r="4" s="52" customFormat="true" ht="100.15" hidden="false" customHeight="true" outlineLevel="0" collapsed="false">
      <c r="A4" s="50" t="n">
        <v>1</v>
      </c>
      <c r="B4" s="51" t="s">
        <v>225</v>
      </c>
      <c r="C4" s="50" t="s">
        <v>226</v>
      </c>
      <c r="D4" s="50" t="s">
        <v>227</v>
      </c>
      <c r="E4" s="50" t="s">
        <v>228</v>
      </c>
      <c r="F4" s="50" t="s">
        <v>229</v>
      </c>
      <c r="G4" s="50" t="s">
        <v>230</v>
      </c>
      <c r="H4" s="50" t="s">
        <v>231</v>
      </c>
      <c r="I4" s="50" t="s">
        <v>232</v>
      </c>
      <c r="J4" s="50"/>
      <c r="K4" s="50"/>
      <c r="XFD4" s="40"/>
    </row>
    <row r="5" s="52" customFormat="true" ht="100.15" hidden="false" customHeight="true" outlineLevel="0" collapsed="false">
      <c r="A5" s="50" t="n">
        <v>2</v>
      </c>
      <c r="B5" s="50" t="s">
        <v>233</v>
      </c>
      <c r="C5" s="50" t="s">
        <v>234</v>
      </c>
      <c r="D5" s="50" t="s">
        <v>235</v>
      </c>
      <c r="E5" s="50" t="s">
        <v>236</v>
      </c>
      <c r="F5" s="50" t="s">
        <v>237</v>
      </c>
      <c r="G5" s="50" t="s">
        <v>238</v>
      </c>
      <c r="H5" s="50" t="s">
        <v>239</v>
      </c>
      <c r="I5" s="50" t="s">
        <v>240</v>
      </c>
      <c r="J5" s="50"/>
      <c r="K5" s="50"/>
      <c r="XFD5" s="40"/>
    </row>
    <row r="6" s="52" customFormat="true" ht="100.15" hidden="false" customHeight="true" outlineLevel="0" collapsed="false">
      <c r="A6" s="50" t="n">
        <v>3</v>
      </c>
      <c r="B6" s="50" t="s">
        <v>241</v>
      </c>
      <c r="C6" s="50" t="s">
        <v>242</v>
      </c>
      <c r="D6" s="50" t="s">
        <v>243</v>
      </c>
      <c r="E6" s="50" t="s">
        <v>244</v>
      </c>
      <c r="F6" s="50" t="s">
        <v>245</v>
      </c>
      <c r="G6" s="50" t="s">
        <v>246</v>
      </c>
      <c r="H6" s="50" t="s">
        <v>247</v>
      </c>
      <c r="I6" s="50" t="s">
        <v>248</v>
      </c>
      <c r="J6" s="50"/>
      <c r="K6" s="50"/>
      <c r="XFD6" s="40"/>
    </row>
    <row r="7" s="52" customFormat="true" ht="100.15" hidden="false" customHeight="true" outlineLevel="0" collapsed="false">
      <c r="A7" s="50" t="n">
        <v>4</v>
      </c>
      <c r="B7" s="50" t="s">
        <v>249</v>
      </c>
      <c r="C7" s="50" t="s">
        <v>250</v>
      </c>
      <c r="D7" s="50" t="s">
        <v>251</v>
      </c>
      <c r="E7" s="50" t="s">
        <v>252</v>
      </c>
      <c r="F7" s="50" t="s">
        <v>253</v>
      </c>
      <c r="G7" s="50" t="s">
        <v>254</v>
      </c>
      <c r="H7" s="50" t="s">
        <v>255</v>
      </c>
      <c r="I7" s="50" t="s">
        <v>256</v>
      </c>
      <c r="J7" s="50"/>
      <c r="K7" s="50"/>
      <c r="XFD7" s="40"/>
    </row>
    <row r="8" s="52" customFormat="true" ht="100.15" hidden="false" customHeight="true" outlineLevel="0" collapsed="false">
      <c r="A8" s="50" t="n">
        <v>5</v>
      </c>
      <c r="B8" s="50" t="s">
        <v>257</v>
      </c>
      <c r="C8" s="50" t="s">
        <v>258</v>
      </c>
      <c r="D8" s="51" t="s">
        <v>259</v>
      </c>
      <c r="E8" s="50" t="s">
        <v>260</v>
      </c>
      <c r="F8" s="50" t="s">
        <v>261</v>
      </c>
      <c r="G8" s="50" t="s">
        <v>262</v>
      </c>
      <c r="H8" s="50" t="s">
        <v>263</v>
      </c>
      <c r="I8" s="50" t="s">
        <v>264</v>
      </c>
      <c r="J8" s="50"/>
      <c r="K8" s="50"/>
      <c r="XFD8" s="40"/>
    </row>
    <row r="9" s="52" customFormat="true" ht="100.15" hidden="false" customHeight="true" outlineLevel="0" collapsed="false">
      <c r="A9" s="50" t="n">
        <v>6</v>
      </c>
      <c r="B9" s="50" t="s">
        <v>265</v>
      </c>
      <c r="C9" s="50" t="s">
        <v>266</v>
      </c>
      <c r="D9" s="50" t="s">
        <v>267</v>
      </c>
      <c r="E9" s="50" t="s">
        <v>268</v>
      </c>
      <c r="F9" s="50" t="s">
        <v>269</v>
      </c>
      <c r="G9" s="50" t="s">
        <v>270</v>
      </c>
      <c r="H9" s="50" t="s">
        <v>271</v>
      </c>
      <c r="I9" s="50" t="s">
        <v>272</v>
      </c>
      <c r="J9" s="50"/>
      <c r="K9" s="50"/>
      <c r="XFD9" s="40"/>
    </row>
    <row r="10" s="52" customFormat="true" ht="100.15" hidden="false" customHeight="true" outlineLevel="0" collapsed="false">
      <c r="A10" s="53" t="n">
        <v>7</v>
      </c>
      <c r="B10" s="50" t="s">
        <v>273</v>
      </c>
      <c r="C10" s="50" t="s">
        <v>274</v>
      </c>
      <c r="D10" s="50" t="s">
        <v>275</v>
      </c>
      <c r="E10" s="50" t="s">
        <v>276</v>
      </c>
      <c r="F10" s="50" t="s">
        <v>277</v>
      </c>
      <c r="G10" s="50" t="s">
        <v>278</v>
      </c>
      <c r="H10" s="50" t="s">
        <v>279</v>
      </c>
      <c r="I10" s="50" t="s">
        <v>280</v>
      </c>
      <c r="J10" s="53"/>
      <c r="K10" s="53"/>
      <c r="XFD10" s="40"/>
    </row>
    <row r="11" s="52" customFormat="true" ht="100.15" hidden="false" customHeight="true" outlineLevel="0" collapsed="false">
      <c r="A11" s="50" t="n">
        <v>8</v>
      </c>
      <c r="B11" s="50" t="s">
        <v>281</v>
      </c>
      <c r="C11" s="50" t="s">
        <v>282</v>
      </c>
      <c r="D11" s="50" t="s">
        <v>283</v>
      </c>
      <c r="E11" s="50" t="s">
        <v>284</v>
      </c>
      <c r="F11" s="50" t="s">
        <v>285</v>
      </c>
      <c r="G11" s="50" t="s">
        <v>286</v>
      </c>
      <c r="H11" s="50" t="s">
        <v>287</v>
      </c>
      <c r="I11" s="50" t="s">
        <v>288</v>
      </c>
      <c r="J11" s="50"/>
      <c r="K11" s="50"/>
      <c r="XFD11" s="40"/>
    </row>
    <row r="12" s="52" customFormat="true" ht="100.15" hidden="false" customHeight="true" outlineLevel="0" collapsed="false">
      <c r="A12" s="53" t="n">
        <v>9</v>
      </c>
      <c r="B12" s="50" t="s">
        <v>289</v>
      </c>
      <c r="C12" s="50" t="s">
        <v>290</v>
      </c>
      <c r="D12" s="50" t="s">
        <v>291</v>
      </c>
      <c r="E12" s="50" t="s">
        <v>292</v>
      </c>
      <c r="F12" s="51" t="s">
        <v>293</v>
      </c>
      <c r="G12" s="50" t="s">
        <v>294</v>
      </c>
      <c r="H12" s="50" t="s">
        <v>295</v>
      </c>
      <c r="I12" s="50" t="s">
        <v>296</v>
      </c>
      <c r="J12" s="53"/>
      <c r="K12" s="53"/>
      <c r="XFD12" s="40"/>
    </row>
    <row r="13" s="52" customFormat="true" ht="100.15" hidden="false" customHeight="true" outlineLevel="0" collapsed="false">
      <c r="A13" s="50" t="n">
        <v>10</v>
      </c>
      <c r="B13" s="50" t="s">
        <v>297</v>
      </c>
      <c r="C13" s="50" t="s">
        <v>298</v>
      </c>
      <c r="D13" s="50" t="s">
        <v>299</v>
      </c>
      <c r="E13" s="50" t="s">
        <v>300</v>
      </c>
      <c r="F13" s="50"/>
      <c r="G13" s="50" t="s">
        <v>301</v>
      </c>
      <c r="H13" s="50" t="s">
        <v>302</v>
      </c>
      <c r="I13" s="50" t="s">
        <v>303</v>
      </c>
      <c r="J13" s="50"/>
      <c r="K13" s="50"/>
      <c r="XFD13" s="40"/>
    </row>
    <row r="14" s="52" customFormat="true" ht="100.15" hidden="false" customHeight="true" outlineLevel="0" collapsed="false">
      <c r="A14" s="53" t="n">
        <v>11</v>
      </c>
      <c r="B14" s="50" t="s">
        <v>304</v>
      </c>
      <c r="C14" s="50" t="s">
        <v>305</v>
      </c>
      <c r="D14" s="50"/>
      <c r="E14" s="50" t="s">
        <v>306</v>
      </c>
      <c r="F14" s="50"/>
      <c r="G14" s="50" t="s">
        <v>307</v>
      </c>
      <c r="H14" s="50" t="s">
        <v>308</v>
      </c>
      <c r="I14" s="50" t="s">
        <v>309</v>
      </c>
      <c r="J14" s="53"/>
      <c r="K14" s="53"/>
      <c r="XFD14" s="40"/>
    </row>
    <row r="15" s="52" customFormat="true" ht="100.15" hidden="false" customHeight="true" outlineLevel="0" collapsed="false">
      <c r="A15" s="50" t="n">
        <v>12</v>
      </c>
      <c r="B15" s="50" t="s">
        <v>310</v>
      </c>
      <c r="C15" s="50" t="s">
        <v>311</v>
      </c>
      <c r="D15" s="50"/>
      <c r="E15" s="50" t="s">
        <v>312</v>
      </c>
      <c r="F15" s="50"/>
      <c r="G15" s="50" t="s">
        <v>313</v>
      </c>
      <c r="H15" s="50" t="s">
        <v>314</v>
      </c>
      <c r="I15" s="50" t="s">
        <v>315</v>
      </c>
      <c r="J15" s="50"/>
      <c r="K15" s="50"/>
      <c r="XFD15" s="40"/>
    </row>
    <row r="16" s="52" customFormat="true" ht="100.15" hidden="false" customHeight="true" outlineLevel="0" collapsed="false">
      <c r="A16" s="53" t="n">
        <v>13</v>
      </c>
      <c r="B16" s="50" t="s">
        <v>316</v>
      </c>
      <c r="C16" s="50" t="s">
        <v>317</v>
      </c>
      <c r="D16" s="50"/>
      <c r="E16" s="50" t="s">
        <v>316</v>
      </c>
      <c r="F16" s="50"/>
      <c r="G16" s="50" t="s">
        <v>316</v>
      </c>
      <c r="H16" s="50" t="s">
        <v>318</v>
      </c>
      <c r="I16" s="50" t="s">
        <v>315</v>
      </c>
      <c r="J16" s="53"/>
      <c r="K16" s="53"/>
      <c r="XFD16" s="40"/>
    </row>
    <row r="17" s="52" customFormat="true" ht="100.15" hidden="false" customHeight="true" outlineLevel="0" collapsed="false">
      <c r="A17" s="50" t="n">
        <v>14</v>
      </c>
      <c r="B17" s="50" t="s">
        <v>316</v>
      </c>
      <c r="C17" s="50" t="s">
        <v>319</v>
      </c>
      <c r="D17" s="50"/>
      <c r="E17" s="50" t="s">
        <v>320</v>
      </c>
      <c r="F17" s="50"/>
      <c r="G17" s="54"/>
      <c r="H17" s="54"/>
      <c r="I17" s="50" t="s">
        <v>321</v>
      </c>
      <c r="J17" s="50"/>
      <c r="K17" s="50"/>
      <c r="XFD17" s="40"/>
    </row>
    <row r="18" customFormat="false" ht="41.45" hidden="false" customHeight="true" outlineLevel="0" collapsed="false">
      <c r="D18" s="47"/>
    </row>
    <row r="19" customFormat="false" ht="41.45" hidden="false" customHeight="true" outlineLevel="0" collapsed="false">
      <c r="H19" s="1" t="s">
        <v>208</v>
      </c>
    </row>
    <row r="20" customFormat="false" ht="41.45" hidden="false" customHeight="true" outlineLevel="0" collapsed="false"/>
    <row r="21" customFormat="false" ht="41.45" hidden="false" customHeight="true" outlineLevel="0" collapsed="false"/>
    <row r="22" customFormat="false" ht="41.45" hidden="false" customHeight="true" outlineLevel="0" collapsed="false"/>
    <row r="23" customFormat="false" ht="41.45" hidden="false" customHeight="true" outlineLevel="0" collapsed="false"/>
    <row r="24" customFormat="false" ht="41.45" hidden="false" customHeight="true" outlineLevel="0" collapsed="false"/>
    <row r="25" customFormat="false" ht="41.45" hidden="false" customHeight="true" outlineLevel="0" collapsed="false"/>
    <row r="26" customFormat="false" ht="41.45" hidden="false" customHeight="true" outlineLevel="0" collapsed="false"/>
    <row r="27" customFormat="false" ht="41.45" hidden="false" customHeight="true" outlineLevel="0" collapsed="false"/>
    <row r="28" customFormat="false" ht="41.45" hidden="false" customHeight="true" outlineLevel="0" collapsed="false"/>
    <row r="29" customFormat="false" ht="41.45" hidden="false" customHeight="true" outlineLevel="0" collapsed="false"/>
    <row r="30" customFormat="false" ht="41.45" hidden="false" customHeight="true" outlineLevel="0" collapsed="false"/>
    <row r="31" customFormat="false" ht="41.45" hidden="false" customHeight="true" outlineLevel="0" collapsed="false"/>
    <row r="32" customFormat="false" ht="41.45" hidden="false" customHeight="true" outlineLevel="0" collapsed="false"/>
    <row r="33" customFormat="false" ht="41.45" hidden="false" customHeight="true" outlineLevel="0" collapsed="false"/>
    <row r="34" customFormat="false" ht="41.45" hidden="false" customHeight="true" outlineLevel="0" collapsed="false"/>
    <row r="35" customFormat="false" ht="41.45" hidden="false" customHeight="true" outlineLevel="0" collapsed="false"/>
    <row r="36" customFormat="false" ht="41.45" hidden="false" customHeight="true" outlineLevel="0" collapsed="false"/>
    <row r="37" customFormat="false" ht="41.45" hidden="false" customHeight="true" outlineLevel="0" collapsed="false"/>
    <row r="38" customFormat="false" ht="41.45" hidden="false" customHeight="true" outlineLevel="0" collapsed="false">
      <c r="D38" s="1" t="s">
        <v>208</v>
      </c>
    </row>
    <row r="39" customFormat="false" ht="41.45" hidden="false" customHeight="true" outlineLevel="0" collapsed="false"/>
    <row r="40" customFormat="false" ht="16.55" hidden="false" customHeight="tru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1723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2026-05-25T13:23:39Z</dcterms:created>
  <dc:creator>openpyxl</dc:creator>
  <dc:description/>
  <dc:language>en-GB</dc:language>
  <cp:lastModifiedBy/>
  <dcterms:modified xsi:type="dcterms:W3CDTF">2026-08-29T22:36:22Z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